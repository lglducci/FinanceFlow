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1DC292D8-790F-4F5D-97FB-6E0C996F1BC7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Contas" sheetId="1" r:id="rId1"/>
    <sheet name="Lay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0" i="2" l="1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40" i="2"/>
  <c r="E39" i="2"/>
  <c r="E38" i="2"/>
  <c r="E52" i="2"/>
  <c r="E51" i="2"/>
  <c r="E37" i="2"/>
  <c r="E50" i="2"/>
  <c r="E36" i="2"/>
  <c r="E35" i="2"/>
  <c r="E11" i="2"/>
  <c r="E34" i="2"/>
  <c r="E49" i="2"/>
  <c r="E33" i="2"/>
  <c r="E48" i="2"/>
  <c r="E32" i="2"/>
  <c r="E47" i="2"/>
  <c r="E31" i="2"/>
  <c r="E30" i="2"/>
  <c r="E10" i="2"/>
  <c r="E57" i="2"/>
  <c r="E56" i="2"/>
  <c r="E55" i="2"/>
  <c r="E46" i="2"/>
  <c r="E45" i="2"/>
  <c r="E44" i="2"/>
  <c r="E43" i="2"/>
  <c r="E29" i="2"/>
  <c r="E28" i="2"/>
  <c r="E27" i="2"/>
  <c r="E4" i="2"/>
  <c r="E3" i="2"/>
  <c r="E2" i="2"/>
  <c r="E9" i="2"/>
  <c r="E26" i="2"/>
  <c r="E25" i="2"/>
  <c r="E24" i="2"/>
  <c r="E54" i="2"/>
  <c r="E8" i="2"/>
  <c r="E23" i="2"/>
  <c r="E22" i="2"/>
  <c r="E7" i="2"/>
  <c r="E21" i="2"/>
  <c r="E20" i="2"/>
  <c r="E19" i="2"/>
  <c r="E18" i="2"/>
  <c r="E6" i="2"/>
  <c r="E17" i="2"/>
  <c r="E16" i="2"/>
  <c r="E53" i="2"/>
  <c r="E15" i="2"/>
  <c r="E5" i="2"/>
  <c r="E42" i="2"/>
  <c r="E14" i="2"/>
  <c r="E13" i="2"/>
  <c r="E41" i="2"/>
  <c r="E12" i="2"/>
</calcChain>
</file>

<file path=xl/sharedStrings.xml><?xml version="1.0" encoding="utf-8"?>
<sst xmlns="http://schemas.openxmlformats.org/spreadsheetml/2006/main" count="881" uniqueCount="322">
  <si>
    <t>ID</t>
  </si>
  <si>
    <t>Codigo</t>
  </si>
  <si>
    <t>Nome</t>
  </si>
  <si>
    <t>Ativo</t>
  </si>
  <si>
    <t>1</t>
  </si>
  <si>
    <t>2</t>
  </si>
  <si>
    <t>1.1</t>
  </si>
  <si>
    <t>Ativo Circulante</t>
  </si>
  <si>
    <t>3</t>
  </si>
  <si>
    <t>1.1.1</t>
  </si>
  <si>
    <t>Caixa</t>
  </si>
  <si>
    <t>8</t>
  </si>
  <si>
    <t>1.1.2</t>
  </si>
  <si>
    <t>Banco Sicoob</t>
  </si>
  <si>
    <t>11</t>
  </si>
  <si>
    <t>1.1.3</t>
  </si>
  <si>
    <t>Banco Sicoob Patricia</t>
  </si>
  <si>
    <t>13</t>
  </si>
  <si>
    <t>1.1.4</t>
  </si>
  <si>
    <t>Banco Sicoob RinaldoI</t>
  </si>
  <si>
    <t>15</t>
  </si>
  <si>
    <t>1.1.5</t>
  </si>
  <si>
    <t>Banco Santader</t>
  </si>
  <si>
    <t>168</t>
  </si>
  <si>
    <t>1.1.6</t>
  </si>
  <si>
    <t>Banco Santander Patricia</t>
  </si>
  <si>
    <t>169</t>
  </si>
  <si>
    <t>1.1.7</t>
  </si>
  <si>
    <t>Banco Santander Rinaldo</t>
  </si>
  <si>
    <t>340</t>
  </si>
  <si>
    <t>1.1.8</t>
  </si>
  <si>
    <t>Banco CEF</t>
  </si>
  <si>
    <t>16</t>
  </si>
  <si>
    <t>1.2</t>
  </si>
  <si>
    <t>Aplicações Financeiras</t>
  </si>
  <si>
    <t>170</t>
  </si>
  <si>
    <t>1.2.1</t>
  </si>
  <si>
    <t>Aplicação CDI CEF</t>
  </si>
  <si>
    <t>21</t>
  </si>
  <si>
    <t>1.3</t>
  </si>
  <si>
    <t>Estoque</t>
  </si>
  <si>
    <t>22</t>
  </si>
  <si>
    <t>1.3.1</t>
  </si>
  <si>
    <t>172</t>
  </si>
  <si>
    <t>1.4</t>
  </si>
  <si>
    <t>Ativo Não Circulante</t>
  </si>
  <si>
    <t>173</t>
  </si>
  <si>
    <t>1.4.1</t>
  </si>
  <si>
    <t>Moveis e Utensilios</t>
  </si>
  <si>
    <t>24</t>
  </si>
  <si>
    <t>Passivo</t>
  </si>
  <si>
    <t>25</t>
  </si>
  <si>
    <t>2.1</t>
  </si>
  <si>
    <t>Fornecedores</t>
  </si>
  <si>
    <t>26</t>
  </si>
  <si>
    <t>2.1.1</t>
  </si>
  <si>
    <t>Fornecedores em Geral</t>
  </si>
  <si>
    <t>30</t>
  </si>
  <si>
    <t>2.1.2</t>
  </si>
  <si>
    <t>Carrara</t>
  </si>
  <si>
    <t>184</t>
  </si>
  <si>
    <t>2.2</t>
  </si>
  <si>
    <t>Emprestimos</t>
  </si>
  <si>
    <t>185</t>
  </si>
  <si>
    <t>2.2.1</t>
  </si>
  <si>
    <t xml:space="preserve">Emprestimo Santander (60.000) </t>
  </si>
  <si>
    <t>333</t>
  </si>
  <si>
    <t>2.2.2</t>
  </si>
  <si>
    <t>Emprestimo Pronampe Santander</t>
  </si>
  <si>
    <t>338</t>
  </si>
  <si>
    <t>2.2.3</t>
  </si>
  <si>
    <t>Emprestimo Kleber</t>
  </si>
  <si>
    <t>350</t>
  </si>
  <si>
    <t>2.2.4</t>
  </si>
  <si>
    <t>Emprestimo chacara</t>
  </si>
  <si>
    <t>653</t>
  </si>
  <si>
    <t>2.2.5</t>
  </si>
  <si>
    <t>Emprestimo CEF</t>
  </si>
  <si>
    <t>500</t>
  </si>
  <si>
    <t>2.3</t>
  </si>
  <si>
    <t>impostos parcelados</t>
  </si>
  <si>
    <t>501</t>
  </si>
  <si>
    <t>2.3.1</t>
  </si>
  <si>
    <t>parcelamento do simples massas</t>
  </si>
  <si>
    <t>503</t>
  </si>
  <si>
    <t>2.3.2</t>
  </si>
  <si>
    <t>parcelamento Piedade</t>
  </si>
  <si>
    <t>504</t>
  </si>
  <si>
    <t>2.4</t>
  </si>
  <si>
    <t>Dividas com Funcionarios</t>
  </si>
  <si>
    <t>505</t>
  </si>
  <si>
    <t>2.4.1</t>
  </si>
  <si>
    <t>Gorjeta Mendonca</t>
  </si>
  <si>
    <t>54</t>
  </si>
  <si>
    <t>Patrimônio Líquido</t>
  </si>
  <si>
    <t>55</t>
  </si>
  <si>
    <t>3.1</t>
  </si>
  <si>
    <t>Capital Social</t>
  </si>
  <si>
    <t>56</t>
  </si>
  <si>
    <t>3.1.1</t>
  </si>
  <si>
    <t xml:space="preserve"> Resultado (DRE - Demonstração do Resultado do Exercício)</t>
  </si>
  <si>
    <t>334</t>
  </si>
  <si>
    <t>3.1.2</t>
  </si>
  <si>
    <t>Capital Inicial</t>
  </si>
  <si>
    <t>654</t>
  </si>
  <si>
    <t>3.1.2.01</t>
  </si>
  <si>
    <t>Lucros ou Prejuízos Acumulados</t>
  </si>
  <si>
    <t>655</t>
  </si>
  <si>
    <t>3.2</t>
  </si>
  <si>
    <t xml:space="preserve"> Resultado do Exercício</t>
  </si>
  <si>
    <t>656</t>
  </si>
  <si>
    <t>3.2.1</t>
  </si>
  <si>
    <t>Resultado Apurado no Período</t>
  </si>
  <si>
    <t>657</t>
  </si>
  <si>
    <t>3.2.1.01</t>
  </si>
  <si>
    <t>Resultado do Exercício (conta transitória)</t>
  </si>
  <si>
    <t>66</t>
  </si>
  <si>
    <t>3.3</t>
  </si>
  <si>
    <t>68</t>
  </si>
  <si>
    <t>4</t>
  </si>
  <si>
    <t>Receitas</t>
  </si>
  <si>
    <t>69</t>
  </si>
  <si>
    <t>4.1</t>
  </si>
  <si>
    <t>Receita Bruta de Vendas</t>
  </si>
  <si>
    <t>174</t>
  </si>
  <si>
    <t>4.1.1</t>
  </si>
  <si>
    <t>Receitas Operacionais</t>
  </si>
  <si>
    <t>75</t>
  </si>
  <si>
    <t>4.1.3</t>
  </si>
  <si>
    <t>Outras Receitas Operacionais</t>
  </si>
  <si>
    <t>85</t>
  </si>
  <si>
    <t>5</t>
  </si>
  <si>
    <t>Custos</t>
  </si>
  <si>
    <t>86</t>
  </si>
  <si>
    <t>5.1</t>
  </si>
  <si>
    <t>CMV</t>
  </si>
  <si>
    <t>176</t>
  </si>
  <si>
    <t>5.1.1</t>
  </si>
  <si>
    <t>177</t>
  </si>
  <si>
    <t>5.1.2</t>
  </si>
  <si>
    <t>CMV Carne</t>
  </si>
  <si>
    <t>98</t>
  </si>
  <si>
    <t>5.1.3</t>
  </si>
  <si>
    <t>CMV Bebidas</t>
  </si>
  <si>
    <t>342</t>
  </si>
  <si>
    <t>5.1.4</t>
  </si>
  <si>
    <t>CMV peixes</t>
  </si>
  <si>
    <t>660</t>
  </si>
  <si>
    <t>5.1.5</t>
  </si>
  <si>
    <t>Simples</t>
  </si>
  <si>
    <t>103</t>
  </si>
  <si>
    <t>6</t>
  </si>
  <si>
    <t>Despesas</t>
  </si>
  <si>
    <t>104</t>
  </si>
  <si>
    <t>6.1</t>
  </si>
  <si>
    <t>Despesas com Pessoal</t>
  </si>
  <si>
    <t>105</t>
  </si>
  <si>
    <t>6.1.1</t>
  </si>
  <si>
    <t>Salarios</t>
  </si>
  <si>
    <t>335</t>
  </si>
  <si>
    <t>6.1.2</t>
  </si>
  <si>
    <t>Pro-labore</t>
  </si>
  <si>
    <t>339</t>
  </si>
  <si>
    <t>6.1.3</t>
  </si>
  <si>
    <t>Diarias</t>
  </si>
  <si>
    <t>142</t>
  </si>
  <si>
    <t>6.2</t>
  </si>
  <si>
    <t>Despesas Administrativas</t>
  </si>
  <si>
    <t>178</t>
  </si>
  <si>
    <t>6.2.1</t>
  </si>
  <si>
    <t>Energia</t>
  </si>
  <si>
    <t>348</t>
  </si>
  <si>
    <t>6.2.10</t>
  </si>
  <si>
    <t>Outras despesas administrativas</t>
  </si>
  <si>
    <t>179</t>
  </si>
  <si>
    <t>6.2.2</t>
  </si>
  <si>
    <t>Telefone/Internet</t>
  </si>
  <si>
    <t>336</t>
  </si>
  <si>
    <t>6.2.3</t>
  </si>
  <si>
    <t xml:space="preserve">Agua </t>
  </si>
  <si>
    <t>337</t>
  </si>
  <si>
    <t>6.2.4</t>
  </si>
  <si>
    <t>Manutencao e Seguranca</t>
  </si>
  <si>
    <t>341</t>
  </si>
  <si>
    <t>6.2.5</t>
  </si>
  <si>
    <t>Contador</t>
  </si>
  <si>
    <t>346</t>
  </si>
  <si>
    <t>6.2.6</t>
  </si>
  <si>
    <t>Despesas com veiculo</t>
  </si>
  <si>
    <t>347</t>
  </si>
  <si>
    <t>6.2.7</t>
  </si>
  <si>
    <t>Marketing</t>
  </si>
  <si>
    <t>349</t>
  </si>
  <si>
    <t>6.2.8</t>
  </si>
  <si>
    <t>Entregadores</t>
  </si>
  <si>
    <t>182</t>
  </si>
  <si>
    <t>6.3</t>
  </si>
  <si>
    <t>Impostos indiretos</t>
  </si>
  <si>
    <t>183</t>
  </si>
  <si>
    <t>6.3.1</t>
  </si>
  <si>
    <t>IOF</t>
  </si>
  <si>
    <t>352</t>
  </si>
  <si>
    <t>6.4</t>
  </si>
  <si>
    <t>Impostos diretos</t>
  </si>
  <si>
    <t>353</t>
  </si>
  <si>
    <t>6.4.1</t>
  </si>
  <si>
    <t>Impostos</t>
  </si>
  <si>
    <t>145</t>
  </si>
  <si>
    <t>6.5</t>
  </si>
  <si>
    <t>Despesas Financeiras</t>
  </si>
  <si>
    <t>180</t>
  </si>
  <si>
    <t>6.5.1</t>
  </si>
  <si>
    <t>Juros</t>
  </si>
  <si>
    <t>181</t>
  </si>
  <si>
    <t>6.5.2</t>
  </si>
  <si>
    <t>Taxas Bancarias</t>
  </si>
  <si>
    <t>Data</t>
  </si>
  <si>
    <t>Historico</t>
  </si>
  <si>
    <t>Conta</t>
  </si>
  <si>
    <t>Valor</t>
  </si>
  <si>
    <t>NomeConta</t>
  </si>
  <si>
    <t/>
  </si>
  <si>
    <t>16/04/2026</t>
  </si>
  <si>
    <t xml:space="preserve">PIX RECEBIDO </t>
  </si>
  <si>
    <t>50,00 C</t>
  </si>
  <si>
    <t>PIX RECEBIDO - OUTRA IF</t>
  </si>
  <si>
    <t>71,00 C</t>
  </si>
  <si>
    <t>113,30 C</t>
  </si>
  <si>
    <t>17/04/2026</t>
  </si>
  <si>
    <t>Elias congelado</t>
  </si>
  <si>
    <t>- 285,00 D</t>
  </si>
  <si>
    <t>Roberta vale</t>
  </si>
  <si>
    <t>- 180,00 D</t>
  </si>
  <si>
    <t>Lucimar verduras</t>
  </si>
  <si>
    <t>- 76,00 D</t>
  </si>
  <si>
    <t>transf santander</t>
  </si>
  <si>
    <t>1.600,00 C</t>
  </si>
  <si>
    <t>Lemon energia</t>
  </si>
  <si>
    <t>- 776,56 D</t>
  </si>
  <si>
    <t>pix RAFAELA MENDES</t>
  </si>
  <si>
    <t>396,00 C</t>
  </si>
  <si>
    <t>- 220,00 D</t>
  </si>
  <si>
    <t>20/04/2026</t>
  </si>
  <si>
    <t>LIGIA MARINA BRANDAO HAUCK</t>
  </si>
  <si>
    <t>4,20 C</t>
  </si>
  <si>
    <t>pix ALCINA SILVEIRA MOLINA</t>
  </si>
  <si>
    <t>66,00 C</t>
  </si>
  <si>
    <t>pix DEBORA LINO BARBOSA PONCIANO</t>
  </si>
  <si>
    <t>54,00 C</t>
  </si>
  <si>
    <t>6,00 C</t>
  </si>
  <si>
    <t>102,00 C</t>
  </si>
  <si>
    <t>116,00 C</t>
  </si>
  <si>
    <t>6.700,00 C</t>
  </si>
  <si>
    <t>transf santander patricia</t>
  </si>
  <si>
    <t>20,00 C</t>
  </si>
  <si>
    <t>4.300,00 C</t>
  </si>
  <si>
    <t>Ferias Roberta 10 dias</t>
  </si>
  <si>
    <t>- 697,87 D</t>
  </si>
  <si>
    <t>transf snatander patricia</t>
  </si>
  <si>
    <t>- 20,00 D</t>
  </si>
  <si>
    <t>Tilapia Gabriel</t>
  </si>
  <si>
    <t>- 250,00 D</t>
  </si>
  <si>
    <t>Petrópolis</t>
  </si>
  <si>
    <t>- 170,88 D</t>
  </si>
  <si>
    <t>Brejeiro</t>
  </si>
  <si>
    <t>- 1.143,75 D</t>
  </si>
  <si>
    <t>Seara</t>
  </si>
  <si>
    <t>- 150,60 D</t>
  </si>
  <si>
    <t>Vinhos Sam Club</t>
  </si>
  <si>
    <t>- 232,62 D</t>
  </si>
  <si>
    <t>- 186,30 D</t>
  </si>
  <si>
    <t>Linknet</t>
  </si>
  <si>
    <t>- 260,00 D</t>
  </si>
  <si>
    <t>Ice by nice</t>
  </si>
  <si>
    <t>- 321,51 D</t>
  </si>
  <si>
    <t>Disal consórcio</t>
  </si>
  <si>
    <t>- 959,60 D</t>
  </si>
  <si>
    <t>Cartão itau</t>
  </si>
  <si>
    <t>- 2.120,25 D</t>
  </si>
  <si>
    <t>Inss</t>
  </si>
  <si>
    <t>- 2.566,82 D</t>
  </si>
  <si>
    <t>fgts</t>
  </si>
  <si>
    <t>- 1.150,09 D</t>
  </si>
  <si>
    <t>E social</t>
  </si>
  <si>
    <t>- 856,33 D</t>
  </si>
  <si>
    <t>agua chacar</t>
  </si>
  <si>
    <t>- 459,22 D</t>
  </si>
  <si>
    <t>transf rinaldo santander</t>
  </si>
  <si>
    <t>3.000,00 C</t>
  </si>
  <si>
    <t>- 5.511,96 D</t>
  </si>
  <si>
    <t>TRANSF. SANTANDER PATRICIA</t>
  </si>
  <si>
    <t>1.000,00 C</t>
  </si>
  <si>
    <t>- 740,00 D</t>
  </si>
  <si>
    <t>22/04/2026</t>
  </si>
  <si>
    <t>141,00 C</t>
  </si>
  <si>
    <t>4,00 C</t>
  </si>
  <si>
    <t>4.000,00 C</t>
  </si>
  <si>
    <t>Arteflexiveis embalagens sacos</t>
  </si>
  <si>
    <t>- 636,00 D</t>
  </si>
  <si>
    <t>Tilápia Guilherme</t>
  </si>
  <si>
    <t>- 499,00 D</t>
  </si>
  <si>
    <t>- 251,63 D</t>
  </si>
  <si>
    <t>transf santander rinaldo</t>
  </si>
  <si>
    <t>18.000,00 C</t>
  </si>
  <si>
    <t>cartao patricia</t>
  </si>
  <si>
    <t>- 6.502,76 D</t>
  </si>
  <si>
    <t>transf sicoob rinaldo</t>
  </si>
  <si>
    <t>- 7.000,00 D</t>
  </si>
  <si>
    <t>Sueli 4 semanas</t>
  </si>
  <si>
    <t>- 200,00 D</t>
  </si>
  <si>
    <t>239,00 C</t>
  </si>
  <si>
    <t>79,00 C</t>
  </si>
  <si>
    <t>23/04/2026</t>
  </si>
  <si>
    <t>DEP.DINHEIRO</t>
  </si>
  <si>
    <t>650,00 C</t>
  </si>
  <si>
    <t>Minerva</t>
  </si>
  <si>
    <t>- 231,44 D</t>
  </si>
  <si>
    <t>81,00 C</t>
  </si>
  <si>
    <t>24/04/2026</t>
  </si>
  <si>
    <t>96,00 C</t>
  </si>
  <si>
    <t>monitoramento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</si>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</sst>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FF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workbookViewId="0">
      <selection activeCell="B57" sqref="B57"/>
    </sheetView>
  </sheetViews>
  <sheetFormatPr defaultRowHeight="15" x14ac:dyDescent="0.25"/>
  <cols>
    <col min="3" max="3" width="19.1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4</v>
      </c>
      <c r="C2" t="s">
        <v>3</v>
      </c>
      <c r="D2">
        <v>1</v>
      </c>
    </row>
    <row r="3" spans="1:4" ht="15.75" x14ac:dyDescent="0.25">
      <c r="A3" t="s">
        <v>5</v>
      </c>
      <c r="B3" t="s">
        <v>6</v>
      </c>
      <c r="C3" t="s">
        <v>7</v>
      </c>
      <c r="D3">
        <v>1</v>
      </c>
    </row>
    <row r="4" spans="1:4" ht="15.75" x14ac:dyDescent="0.25">
      <c r="A4" t="s">
        <v>8</v>
      </c>
      <c r="B4" t="s">
        <v>9</v>
      </c>
      <c r="C4" t="s">
        <v>10</v>
      </c>
      <c r="D4">
        <v>1</v>
      </c>
    </row>
    <row r="5" spans="1:4" ht="15.75" x14ac:dyDescent="0.25">
      <c r="A5" t="s">
        <v>11</v>
      </c>
      <c r="B5" t="s">
        <v>12</v>
      </c>
      <c r="C5" t="s">
        <v>13</v>
      </c>
      <c r="D5">
        <v>1</v>
      </c>
    </row>
    <row r="6" spans="1:4" ht="15.75" x14ac:dyDescent="0.25">
      <c r="A6" t="s">
        <v>14</v>
      </c>
      <c r="B6" t="s">
        <v>15</v>
      </c>
      <c r="C6" t="s">
        <v>16</v>
      </c>
      <c r="D6">
        <v>1</v>
      </c>
    </row>
    <row r="7" spans="1:4" ht="15.75" x14ac:dyDescent="0.25">
      <c r="A7" t="s">
        <v>17</v>
      </c>
      <c r="B7" t="s">
        <v>18</v>
      </c>
      <c r="C7" t="s">
        <v>19</v>
      </c>
      <c r="D7">
        <v>1</v>
      </c>
    </row>
    <row r="8" spans="1:4" ht="15.75" x14ac:dyDescent="0.25">
      <c r="A8" t="s">
        <v>20</v>
      </c>
      <c r="B8" t="s">
        <v>21</v>
      </c>
      <c r="C8" t="s">
        <v>22</v>
      </c>
      <c r="D8">
        <v>1</v>
      </c>
    </row>
    <row r="9" spans="1:4" ht="15.75" x14ac:dyDescent="0.25">
      <c r="A9" t="s">
        <v>23</v>
      </c>
      <c r="B9" t="s">
        <v>24</v>
      </c>
      <c r="C9" t="s">
        <v>25</v>
      </c>
      <c r="D9">
        <v>1</v>
      </c>
    </row>
    <row r="10" spans="1:4" ht="15.75" x14ac:dyDescent="0.25">
      <c r="A10" t="s">
        <v>26</v>
      </c>
      <c r="B10" t="s">
        <v>27</v>
      </c>
      <c r="C10" t="s">
        <v>28</v>
      </c>
      <c r="D10">
        <v>1</v>
      </c>
    </row>
    <row r="11" spans="1:4" ht="15.75" x14ac:dyDescent="0.25">
      <c r="A11" t="s">
        <v>29</v>
      </c>
      <c r="B11" t="s">
        <v>30</v>
      </c>
      <c r="C11" t="s">
        <v>31</v>
      </c>
      <c r="D11">
        <v>1</v>
      </c>
    </row>
    <row r="12" spans="1:4" ht="15.75" x14ac:dyDescent="0.25">
      <c r="A12" t="s">
        <v>32</v>
      </c>
      <c r="B12" t="s">
        <v>33</v>
      </c>
      <c r="C12" t="s">
        <v>34</v>
      </c>
      <c r="D12">
        <v>1</v>
      </c>
    </row>
    <row r="13" spans="1:4" ht="15.75" x14ac:dyDescent="0.25">
      <c r="A13" t="s">
        <v>35</v>
      </c>
      <c r="B13" t="s">
        <v>36</v>
      </c>
      <c r="C13" t="s">
        <v>37</v>
      </c>
      <c r="D13">
        <v>1</v>
      </c>
    </row>
    <row r="14" spans="1:4" ht="15.75" x14ac:dyDescent="0.25">
      <c r="A14" t="s">
        <v>38</v>
      </c>
      <c r="B14" t="s">
        <v>39</v>
      </c>
      <c r="C14" t="s">
        <v>40</v>
      </c>
      <c r="D14">
        <v>1</v>
      </c>
    </row>
    <row r="15" spans="1:4" ht="15.75" x14ac:dyDescent="0.25">
      <c r="A15" t="s">
        <v>41</v>
      </c>
      <c r="B15" t="s">
        <v>42</v>
      </c>
      <c r="C15" t="s">
        <v>40</v>
      </c>
      <c r="D15">
        <v>1</v>
      </c>
    </row>
    <row r="16" spans="1:4" ht="15.75" x14ac:dyDescent="0.25">
      <c r="A16" t="s">
        <v>43</v>
      </c>
      <c r="B16" t="s">
        <v>44</v>
      </c>
      <c r="C16" t="s">
        <v>45</v>
      </c>
      <c r="D16">
        <v>1</v>
      </c>
    </row>
    <row r="17" spans="1:4" ht="15.75" x14ac:dyDescent="0.25">
      <c r="A17" t="s">
        <v>46</v>
      </c>
      <c r="B17" t="s">
        <v>47</v>
      </c>
      <c r="C17" t="s">
        <v>48</v>
      </c>
      <c r="D17">
        <v>1</v>
      </c>
    </row>
    <row r="18" spans="1:4" ht="15.75" x14ac:dyDescent="0.25">
      <c r="A18" t="s">
        <v>49</v>
      </c>
      <c r="B18" t="s">
        <v>5</v>
      </c>
      <c r="C18" t="s">
        <v>50</v>
      </c>
      <c r="D18">
        <v>1</v>
      </c>
    </row>
    <row r="19" spans="1:4" ht="15.75" x14ac:dyDescent="0.25">
      <c r="A19" t="s">
        <v>51</v>
      </c>
      <c r="B19" t="s">
        <v>52</v>
      </c>
      <c r="C19" t="s">
        <v>53</v>
      </c>
      <c r="D19">
        <v>1</v>
      </c>
    </row>
    <row r="20" spans="1:4" ht="15.75" x14ac:dyDescent="0.25">
      <c r="A20" t="s">
        <v>54</v>
      </c>
      <c r="B20" t="s">
        <v>55</v>
      </c>
      <c r="C20" t="s">
        <v>56</v>
      </c>
      <c r="D20">
        <v>1</v>
      </c>
    </row>
    <row r="21" spans="1:4" ht="15.75" x14ac:dyDescent="0.25">
      <c r="A21" t="s">
        <v>57</v>
      </c>
      <c r="B21" t="s">
        <v>58</v>
      </c>
      <c r="C21" t="s">
        <v>59</v>
      </c>
      <c r="D21">
        <v>1</v>
      </c>
    </row>
    <row r="22" spans="1:4" ht="15.75" x14ac:dyDescent="0.25">
      <c r="A22" t="s">
        <v>60</v>
      </c>
      <c r="B22" t="s">
        <v>61</v>
      </c>
      <c r="C22" t="s">
        <v>62</v>
      </c>
      <c r="D22">
        <v>1</v>
      </c>
    </row>
    <row r="23" spans="1:4" ht="15.75" x14ac:dyDescent="0.25">
      <c r="A23" t="s">
        <v>63</v>
      </c>
      <c r="B23" t="s">
        <v>64</v>
      </c>
      <c r="C23" t="s">
        <v>65</v>
      </c>
      <c r="D23">
        <v>1</v>
      </c>
    </row>
    <row r="24" spans="1:4" ht="15.75" x14ac:dyDescent="0.25">
      <c r="A24" t="s">
        <v>66</v>
      </c>
      <c r="B24" t="s">
        <v>67</v>
      </c>
      <c r="C24" t="s">
        <v>68</v>
      </c>
      <c r="D24">
        <v>1</v>
      </c>
    </row>
    <row r="25" spans="1:4" ht="15.75" x14ac:dyDescent="0.25">
      <c r="A25" t="s">
        <v>69</v>
      </c>
      <c r="B25" t="s">
        <v>70</v>
      </c>
      <c r="C25" t="s">
        <v>71</v>
      </c>
      <c r="D25">
        <v>1</v>
      </c>
    </row>
    <row r="26" spans="1:4" ht="15.75" x14ac:dyDescent="0.25">
      <c r="A26" t="s">
        <v>72</v>
      </c>
      <c r="B26" t="s">
        <v>73</v>
      </c>
      <c r="C26" t="s">
        <v>74</v>
      </c>
      <c r="D26">
        <v>1</v>
      </c>
    </row>
    <row r="27" spans="1:4" ht="15.75" x14ac:dyDescent="0.25">
      <c r="A27" t="s">
        <v>75</v>
      </c>
      <c r="B27" t="s">
        <v>76</v>
      </c>
      <c r="C27" t="s">
        <v>77</v>
      </c>
      <c r="D27">
        <v>1</v>
      </c>
    </row>
    <row r="28" spans="1:4" ht="15.75" x14ac:dyDescent="0.25">
      <c r="A28" t="s">
        <v>78</v>
      </c>
      <c r="B28" t="s">
        <v>79</v>
      </c>
      <c r="C28" t="s">
        <v>80</v>
      </c>
      <c r="D28">
        <v>1</v>
      </c>
    </row>
    <row r="29" spans="1:4" ht="15.75" x14ac:dyDescent="0.25">
      <c r="A29" t="s">
        <v>81</v>
      </c>
      <c r="B29" t="s">
        <v>82</v>
      </c>
      <c r="C29" t="s">
        <v>83</v>
      </c>
      <c r="D29">
        <v>1</v>
      </c>
    </row>
    <row r="30" spans="1:4" ht="15.75" x14ac:dyDescent="0.25">
      <c r="A30" t="s">
        <v>84</v>
      </c>
      <c r="B30" t="s">
        <v>85</v>
      </c>
      <c r="C30" t="s">
        <v>86</v>
      </c>
      <c r="D30">
        <v>1</v>
      </c>
    </row>
    <row r="31" spans="1:4" ht="15.75" x14ac:dyDescent="0.25">
      <c r="A31" t="s">
        <v>87</v>
      </c>
      <c r="B31" t="s">
        <v>88</v>
      </c>
      <c r="C31" t="s">
        <v>89</v>
      </c>
      <c r="D31">
        <v>1</v>
      </c>
    </row>
    <row r="32" spans="1:4" ht="15.75" x14ac:dyDescent="0.25">
      <c r="A32" t="s">
        <v>90</v>
      </c>
      <c r="B32" t="s">
        <v>91</v>
      </c>
      <c r="C32" t="s">
        <v>92</v>
      </c>
      <c r="D32">
        <v>1</v>
      </c>
    </row>
    <row r="33" spans="1:4" ht="15.75" x14ac:dyDescent="0.25">
      <c r="A33" t="s">
        <v>93</v>
      </c>
      <c r="B33" t="s">
        <v>8</v>
      </c>
      <c r="C33" t="s">
        <v>94</v>
      </c>
      <c r="D33">
        <v>1</v>
      </c>
    </row>
    <row r="34" spans="1:4" ht="15.75" x14ac:dyDescent="0.25">
      <c r="A34" t="s">
        <v>95</v>
      </c>
      <c r="B34" t="s">
        <v>96</v>
      </c>
      <c r="C34" t="s">
        <v>97</v>
      </c>
      <c r="D34">
        <v>1</v>
      </c>
    </row>
    <row r="35" spans="1:4" ht="15.75" x14ac:dyDescent="0.25">
      <c r="A35" t="s">
        <v>98</v>
      </c>
      <c r="B35" t="s">
        <v>99</v>
      </c>
      <c r="C35" t="s">
        <v>100</v>
      </c>
      <c r="D35">
        <v>1</v>
      </c>
    </row>
    <row r="36" spans="1:4" ht="15.75" x14ac:dyDescent="0.25">
      <c r="A36" t="s">
        <v>101</v>
      </c>
      <c r="B36" t="s">
        <v>102</v>
      </c>
      <c r="C36" t="s">
        <v>103</v>
      </c>
      <c r="D36">
        <v>1</v>
      </c>
    </row>
    <row r="37" spans="1:4" ht="15.75" x14ac:dyDescent="0.25">
      <c r="A37" t="s">
        <v>104</v>
      </c>
      <c r="B37" t="s">
        <v>105</v>
      </c>
      <c r="C37" t="s">
        <v>106</v>
      </c>
      <c r="D37">
        <v>1</v>
      </c>
    </row>
    <row r="38" spans="1:4" ht="15.75" x14ac:dyDescent="0.25">
      <c r="A38" t="s">
        <v>107</v>
      </c>
      <c r="B38" t="s">
        <v>108</v>
      </c>
      <c r="C38" t="s">
        <v>109</v>
      </c>
      <c r="D38">
        <v>1</v>
      </c>
    </row>
    <row r="39" spans="1:4" ht="15.75" x14ac:dyDescent="0.25">
      <c r="A39" t="s">
        <v>110</v>
      </c>
      <c r="B39" t="s">
        <v>111</v>
      </c>
      <c r="C39" t="s">
        <v>112</v>
      </c>
      <c r="D39">
        <v>1</v>
      </c>
    </row>
    <row r="40" spans="1:4" ht="15.75" x14ac:dyDescent="0.25">
      <c r="A40" t="s">
        <v>113</v>
      </c>
      <c r="B40" t="s">
        <v>114</v>
      </c>
      <c r="C40" t="s">
        <v>115</v>
      </c>
      <c r="D40">
        <v>1</v>
      </c>
    </row>
    <row r="41" spans="1:4" ht="15.75" x14ac:dyDescent="0.25">
      <c r="A41" t="s">
        <v>116</v>
      </c>
      <c r="B41" t="s">
        <v>117</v>
      </c>
      <c r="C41" t="s">
        <v>106</v>
      </c>
      <c r="D41">
        <v>1</v>
      </c>
    </row>
    <row r="42" spans="1:4" ht="15.75" x14ac:dyDescent="0.25">
      <c r="A42" t="s">
        <v>118</v>
      </c>
      <c r="B42" t="s">
        <v>119</v>
      </c>
      <c r="C42" t="s">
        <v>120</v>
      </c>
      <c r="D42">
        <v>1</v>
      </c>
    </row>
    <row r="43" spans="1:4" ht="15.75" x14ac:dyDescent="0.25">
      <c r="A43" t="s">
        <v>121</v>
      </c>
      <c r="B43" t="s">
        <v>122</v>
      </c>
      <c r="C43" t="s">
        <v>123</v>
      </c>
      <c r="D43">
        <v>1</v>
      </c>
    </row>
    <row r="44" spans="1:4" ht="15.75" x14ac:dyDescent="0.25">
      <c r="A44" t="s">
        <v>124</v>
      </c>
      <c r="B44" t="s">
        <v>125</v>
      </c>
      <c r="C44" t="s">
        <v>126</v>
      </c>
      <c r="D44">
        <v>1</v>
      </c>
    </row>
    <row r="45" spans="1:4" ht="15.75" x14ac:dyDescent="0.25">
      <c r="A45" t="s">
        <v>127</v>
      </c>
      <c r="B45" t="s">
        <v>128</v>
      </c>
      <c r="C45" t="s">
        <v>129</v>
      </c>
      <c r="D45">
        <v>1</v>
      </c>
    </row>
    <row r="46" spans="1:4" ht="15.75" x14ac:dyDescent="0.25">
      <c r="A46" t="s">
        <v>130</v>
      </c>
      <c r="B46" t="s">
        <v>131</v>
      </c>
      <c r="C46" t="s">
        <v>132</v>
      </c>
      <c r="D46">
        <v>1</v>
      </c>
    </row>
    <row r="47" spans="1:4" ht="15.75" x14ac:dyDescent="0.25">
      <c r="A47" t="s">
        <v>133</v>
      </c>
      <c r="B47" t="s">
        <v>134</v>
      </c>
      <c r="C47" t="s">
        <v>135</v>
      </c>
      <c r="D47">
        <v>1</v>
      </c>
    </row>
    <row r="48" spans="1:4" ht="15.75" x14ac:dyDescent="0.25">
      <c r="A48" t="s">
        <v>136</v>
      </c>
      <c r="B48" t="s">
        <v>137</v>
      </c>
      <c r="C48" t="s">
        <v>135</v>
      </c>
      <c r="D48">
        <v>1</v>
      </c>
    </row>
    <row r="49" spans="1:4" ht="15.75" x14ac:dyDescent="0.25">
      <c r="A49" t="s">
        <v>138</v>
      </c>
      <c r="B49" t="s">
        <v>139</v>
      </c>
      <c r="C49" t="s">
        <v>140</v>
      </c>
      <c r="D49">
        <v>1</v>
      </c>
    </row>
    <row r="50" spans="1:4" ht="15.75" x14ac:dyDescent="0.25">
      <c r="A50" t="s">
        <v>141</v>
      </c>
      <c r="B50" t="s">
        <v>142</v>
      </c>
      <c r="C50" t="s">
        <v>143</v>
      </c>
      <c r="D50">
        <v>1</v>
      </c>
    </row>
    <row r="51" spans="1:4" ht="15.75" x14ac:dyDescent="0.25">
      <c r="A51" t="s">
        <v>144</v>
      </c>
      <c r="B51" t="s">
        <v>145</v>
      </c>
      <c r="C51" t="s">
        <v>146</v>
      </c>
      <c r="D51">
        <v>1</v>
      </c>
    </row>
    <row r="52" spans="1:4" ht="15.75" x14ac:dyDescent="0.25">
      <c r="A52" t="s">
        <v>147</v>
      </c>
      <c r="B52" t="s">
        <v>148</v>
      </c>
      <c r="C52" t="s">
        <v>149</v>
      </c>
      <c r="D52">
        <v>1</v>
      </c>
    </row>
    <row r="53" spans="1:4" ht="15.75" x14ac:dyDescent="0.25">
      <c r="A53" t="s">
        <v>150</v>
      </c>
      <c r="B53" t="s">
        <v>151</v>
      </c>
      <c r="C53" t="s">
        <v>152</v>
      </c>
      <c r="D53">
        <v>1</v>
      </c>
    </row>
    <row r="54" spans="1:4" ht="15.75" x14ac:dyDescent="0.25">
      <c r="A54" t="s">
        <v>153</v>
      </c>
      <c r="B54" t="s">
        <v>154</v>
      </c>
      <c r="C54" t="s">
        <v>155</v>
      </c>
      <c r="D54">
        <v>1</v>
      </c>
    </row>
    <row r="55" spans="1:4" ht="15.75" x14ac:dyDescent="0.25">
      <c r="A55" t="s">
        <v>156</v>
      </c>
      <c r="B55" t="s">
        <v>157</v>
      </c>
      <c r="C55" t="s">
        <v>158</v>
      </c>
      <c r="D55">
        <v>1</v>
      </c>
    </row>
    <row r="56" spans="1:4" ht="15.75" x14ac:dyDescent="0.25">
      <c r="A56" t="s">
        <v>159</v>
      </c>
      <c r="B56" t="s">
        <v>160</v>
      </c>
      <c r="C56" t="s">
        <v>161</v>
      </c>
      <c r="D56">
        <v>1</v>
      </c>
    </row>
    <row r="57" spans="1:4" ht="15.75" x14ac:dyDescent="0.25">
      <c r="A57" t="s">
        <v>162</v>
      </c>
      <c r="B57" t="s">
        <v>163</v>
      </c>
      <c r="C57" t="s">
        <v>164</v>
      </c>
      <c r="D57">
        <v>1</v>
      </c>
    </row>
    <row r="58" spans="1:4" ht="15.75" x14ac:dyDescent="0.25">
      <c r="A58" t="s">
        <v>165</v>
      </c>
      <c r="B58" t="s">
        <v>166</v>
      </c>
      <c r="C58" t="s">
        <v>167</v>
      </c>
      <c r="D58">
        <v>1</v>
      </c>
    </row>
    <row r="59" spans="1:4" ht="15.75" x14ac:dyDescent="0.25">
      <c r="A59" t="s">
        <v>168</v>
      </c>
      <c r="B59" t="s">
        <v>169</v>
      </c>
      <c r="C59" t="s">
        <v>170</v>
      </c>
      <c r="D59">
        <v>1</v>
      </c>
    </row>
    <row r="60" spans="1:4" ht="15.75" x14ac:dyDescent="0.25">
      <c r="A60" t="s">
        <v>171</v>
      </c>
      <c r="B60" t="s">
        <v>172</v>
      </c>
      <c r="C60" t="s">
        <v>173</v>
      </c>
      <c r="D60">
        <v>1</v>
      </c>
    </row>
    <row r="61" spans="1:4" ht="15.75" x14ac:dyDescent="0.25">
      <c r="A61" t="s">
        <v>174</v>
      </c>
      <c r="B61" t="s">
        <v>175</v>
      </c>
      <c r="C61" t="s">
        <v>176</v>
      </c>
      <c r="D61">
        <v>1</v>
      </c>
    </row>
    <row r="62" spans="1:4" ht="15.75" x14ac:dyDescent="0.25">
      <c r="A62" t="s">
        <v>177</v>
      </c>
      <c r="B62" t="s">
        <v>178</v>
      </c>
      <c r="C62" t="s">
        <v>179</v>
      </c>
      <c r="D62">
        <v>1</v>
      </c>
    </row>
    <row r="63" spans="1:4" ht="15.75" x14ac:dyDescent="0.25">
      <c r="A63" t="s">
        <v>180</v>
      </c>
      <c r="B63" t="s">
        <v>181</v>
      </c>
      <c r="C63" t="s">
        <v>182</v>
      </c>
      <c r="D63">
        <v>1</v>
      </c>
    </row>
    <row r="64" spans="1:4" ht="15.75" x14ac:dyDescent="0.25">
      <c r="A64" t="s">
        <v>183</v>
      </c>
      <c r="B64" t="s">
        <v>184</v>
      </c>
      <c r="C64" t="s">
        <v>185</v>
      </c>
      <c r="D64">
        <v>1</v>
      </c>
    </row>
    <row r="65" spans="1:4" ht="15.75" x14ac:dyDescent="0.25">
      <c r="A65" t="s">
        <v>186</v>
      </c>
      <c r="B65" t="s">
        <v>187</v>
      </c>
      <c r="C65" t="s">
        <v>188</v>
      </c>
      <c r="D65">
        <v>1</v>
      </c>
    </row>
    <row r="66" spans="1:4" ht="15.75" x14ac:dyDescent="0.25">
      <c r="A66" t="s">
        <v>189</v>
      </c>
      <c r="B66" t="s">
        <v>190</v>
      </c>
      <c r="C66" t="s">
        <v>191</v>
      </c>
      <c r="D66">
        <v>1</v>
      </c>
    </row>
    <row r="67" spans="1:4" ht="15.75" x14ac:dyDescent="0.25">
      <c r="A67" t="s">
        <v>192</v>
      </c>
      <c r="B67" t="s">
        <v>193</v>
      </c>
      <c r="C67" t="s">
        <v>194</v>
      </c>
      <c r="D67">
        <v>1</v>
      </c>
    </row>
    <row r="68" spans="1:4" ht="15.75" x14ac:dyDescent="0.25">
      <c r="A68" t="s">
        <v>195</v>
      </c>
      <c r="B68" t="s">
        <v>196</v>
      </c>
      <c r="C68" t="s">
        <v>197</v>
      </c>
      <c r="D68">
        <v>1</v>
      </c>
    </row>
    <row r="69" spans="1:4" ht="15.75" x14ac:dyDescent="0.25">
      <c r="A69" t="s">
        <v>198</v>
      </c>
      <c r="B69" t="s">
        <v>199</v>
      </c>
      <c r="C69" t="s">
        <v>200</v>
      </c>
      <c r="D69">
        <v>1</v>
      </c>
    </row>
    <row r="70" spans="1:4" ht="15.75" x14ac:dyDescent="0.25">
      <c r="A70" t="s">
        <v>201</v>
      </c>
      <c r="B70" t="s">
        <v>202</v>
      </c>
      <c r="C70" t="s">
        <v>203</v>
      </c>
      <c r="D70">
        <v>1</v>
      </c>
    </row>
    <row r="71" spans="1:4" ht="15.75" x14ac:dyDescent="0.25">
      <c r="A71" t="s">
        <v>204</v>
      </c>
      <c r="B71" t="s">
        <v>205</v>
      </c>
      <c r="C71" t="s">
        <v>206</v>
      </c>
      <c r="D71">
        <v>1</v>
      </c>
    </row>
    <row r="72" spans="1:4" ht="15.75" x14ac:dyDescent="0.25">
      <c r="A72" t="s">
        <v>207</v>
      </c>
      <c r="B72" t="s">
        <v>208</v>
      </c>
      <c r="C72" t="s">
        <v>209</v>
      </c>
      <c r="D72">
        <v>1</v>
      </c>
    </row>
    <row r="73" spans="1:4" ht="15.75" x14ac:dyDescent="0.25">
      <c r="A73" t="s">
        <v>210</v>
      </c>
      <c r="B73" t="s">
        <v>211</v>
      </c>
      <c r="C73" t="s">
        <v>212</v>
      </c>
      <c r="D73">
        <v>1</v>
      </c>
    </row>
    <row r="74" spans="1:4" ht="15.75" x14ac:dyDescent="0.25">
      <c r="A74" t="s">
        <v>213</v>
      </c>
      <c r="B74" t="s">
        <v>214</v>
      </c>
      <c r="C74" t="s">
        <v>215</v>
      </c>
      <c r="D74">
        <v>1</v>
      </c>
    </row>
  </sheetData>
  <pageMargins left="0.511811024" right="0.511811024" top="0.78740157499999996" bottom="0.78740157499999996" header="0.31496062000000002" footer="0.31496062000000002"/>
  <ignoredErrors>
    <ignoredError sqref="A1:D55 A57:D74 A56 C56:D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workbookViewId="0">
      <selection activeCell="L7" sqref="L7"/>
    </sheetView>
  </sheetViews>
  <sheetFormatPr defaultRowHeight="15" x14ac:dyDescent="0.25"/>
  <cols>
    <col min="2" max="2" width="22.25" customWidth="1"/>
    <col min="3" max="3" width="10.125" customWidth="1"/>
  </cols>
  <sheetData>
    <row r="1" spans="1:5" ht="15.75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</row>
    <row r="2" spans="1:5" ht="15.75" x14ac:dyDescent="0.25">
      <c r="A2" s="1" t="s">
        <v>222</v>
      </c>
      <c r="B2" s="1" t="s">
        <v>223</v>
      </c>
      <c r="C2" s="1" t="s">
        <v>125</v>
      </c>
      <c r="D2" s="2" t="s">
        <v>224</v>
      </c>
      <c r="E2" t="str">
        <f>IFERROR(VLOOKUP(C2,Contas!B:C,2,FALSE),"")</f>
        <v>Receitas Operacionais</v>
      </c>
    </row>
    <row r="3" spans="1:5" ht="15.75" x14ac:dyDescent="0.25">
      <c r="A3" s="1" t="s">
        <v>222</v>
      </c>
      <c r="B3" s="1" t="s">
        <v>225</v>
      </c>
      <c r="C3" s="1" t="s">
        <v>125</v>
      </c>
      <c r="D3" s="2" t="s">
        <v>226</v>
      </c>
      <c r="E3" t="str">
        <f>IFERROR(VLOOKUP(C3,Contas!B:C,2,FALSE),"")</f>
        <v>Receitas Operacionais</v>
      </c>
    </row>
    <row r="4" spans="1:5" ht="15.75" x14ac:dyDescent="0.25">
      <c r="A4" s="1" t="s">
        <v>222</v>
      </c>
      <c r="B4" s="1" t="s">
        <v>225</v>
      </c>
      <c r="C4" s="1" t="s">
        <v>125</v>
      </c>
      <c r="D4" s="2" t="s">
        <v>227</v>
      </c>
      <c r="E4" t="str">
        <f>IFERROR(VLOOKUP(C4,Contas!B:C,2,FALSE),"")</f>
        <v>Receitas Operacionais</v>
      </c>
    </row>
    <row r="5" spans="1:5" ht="15.75" x14ac:dyDescent="0.25">
      <c r="A5" s="1" t="s">
        <v>228</v>
      </c>
      <c r="B5" s="1" t="s">
        <v>320</v>
      </c>
      <c r="C5" s="1" t="s">
        <v>181</v>
      </c>
      <c r="D5" s="3" t="s">
        <v>241</v>
      </c>
      <c r="E5" t="str">
        <f>IFERROR(VLOOKUP(C5,Contas!B:C,2,FALSE),"")</f>
        <v>Manutencao e Seguranca</v>
      </c>
    </row>
    <row r="6" spans="1:5" ht="15.75" x14ac:dyDescent="0.25">
      <c r="A6" s="1" t="s">
        <v>228</v>
      </c>
      <c r="B6" s="1" t="s">
        <v>229</v>
      </c>
      <c r="C6" s="1" t="s">
        <v>137</v>
      </c>
      <c r="D6" s="3" t="s">
        <v>230</v>
      </c>
      <c r="E6" t="str">
        <f>IFERROR(VLOOKUP(C6,Contas!B:C,2,FALSE),"")</f>
        <v>CMV</v>
      </c>
    </row>
    <row r="7" spans="1:5" ht="15.75" x14ac:dyDescent="0.25">
      <c r="A7" s="1" t="s">
        <v>228</v>
      </c>
      <c r="B7" s="1" t="s">
        <v>237</v>
      </c>
      <c r="C7" s="1" t="s">
        <v>169</v>
      </c>
      <c r="D7" s="3" t="s">
        <v>238</v>
      </c>
      <c r="E7" t="str">
        <f>IFERROR(VLOOKUP(C7,Contas!B:C,2,FALSE),"")</f>
        <v>Energia</v>
      </c>
    </row>
    <row r="8" spans="1:5" ht="15.75" x14ac:dyDescent="0.25">
      <c r="A8" s="1" t="s">
        <v>228</v>
      </c>
      <c r="B8" s="1" t="s">
        <v>233</v>
      </c>
      <c r="C8" s="1" t="s">
        <v>137</v>
      </c>
      <c r="D8" s="3" t="s">
        <v>234</v>
      </c>
      <c r="E8" t="str">
        <f>IFERROR(VLOOKUP(C8,Contas!B:C,2,FALSE),"")</f>
        <v>CMV</v>
      </c>
    </row>
    <row r="9" spans="1:5" ht="15.75" x14ac:dyDescent="0.25">
      <c r="A9" s="1" t="s">
        <v>228</v>
      </c>
      <c r="B9" s="1" t="s">
        <v>239</v>
      </c>
      <c r="C9" s="1" t="s">
        <v>125</v>
      </c>
      <c r="D9" s="2" t="s">
        <v>240</v>
      </c>
      <c r="E9" t="str">
        <f>IFERROR(VLOOKUP(C9,Contas!B:C,2,FALSE),"")</f>
        <v>Receitas Operacionais</v>
      </c>
    </row>
    <row r="10" spans="1:5" ht="15.75" x14ac:dyDescent="0.25">
      <c r="A10" s="1" t="s">
        <v>228</v>
      </c>
      <c r="B10" s="1" t="s">
        <v>231</v>
      </c>
      <c r="C10" s="1" t="s">
        <v>157</v>
      </c>
      <c r="D10" s="3" t="s">
        <v>232</v>
      </c>
      <c r="E10" t="str">
        <f>IFERROR(VLOOKUP(C10,Contas!B:C,2,FALSE),"")</f>
        <v>Salarios</v>
      </c>
    </row>
    <row r="11" spans="1:5" ht="15.75" x14ac:dyDescent="0.25">
      <c r="A11" s="1" t="s">
        <v>228</v>
      </c>
      <c r="B11" s="1" t="s">
        <v>235</v>
      </c>
      <c r="C11" s="1" t="s">
        <v>21</v>
      </c>
      <c r="D11" s="2" t="s">
        <v>236</v>
      </c>
      <c r="E11" t="str">
        <f>IFERROR(VLOOKUP(C11,Contas!B:C,2,FALSE),"")</f>
        <v>Banco Santader</v>
      </c>
    </row>
    <row r="12" spans="1:5" ht="15.75" x14ac:dyDescent="0.25">
      <c r="A12" s="1" t="s">
        <v>242</v>
      </c>
      <c r="B12" s="1" t="s">
        <v>285</v>
      </c>
      <c r="C12" s="1" t="s">
        <v>160</v>
      </c>
      <c r="D12" s="3" t="s">
        <v>286</v>
      </c>
      <c r="E12" t="str">
        <f>IFERROR(VLOOKUP(C12,Contas!B:C,2,FALSE),"")</f>
        <v>Pro-labore</v>
      </c>
    </row>
    <row r="13" spans="1:5" ht="15.75" x14ac:dyDescent="0.25">
      <c r="A13" s="1" t="s">
        <v>242</v>
      </c>
      <c r="B13" s="1" t="s">
        <v>264</v>
      </c>
      <c r="C13" s="1" t="s">
        <v>137</v>
      </c>
      <c r="D13" s="3" t="s">
        <v>265</v>
      </c>
      <c r="E13" t="str">
        <f>IFERROR(VLOOKUP(C13,Contas!B:C,2,FALSE),"")</f>
        <v>CMV</v>
      </c>
    </row>
    <row r="14" spans="1:5" ht="15.75" x14ac:dyDescent="0.25">
      <c r="A14" s="1" t="s">
        <v>242</v>
      </c>
      <c r="B14" s="1" t="s">
        <v>277</v>
      </c>
      <c r="C14" s="1" t="s">
        <v>137</v>
      </c>
      <c r="D14" s="3" t="s">
        <v>278</v>
      </c>
      <c r="E14" t="str">
        <f>IFERROR(VLOOKUP(C14,Contas!B:C,2,FALSE),"")</f>
        <v>CMV</v>
      </c>
    </row>
    <row r="15" spans="1:5" ht="15.75" x14ac:dyDescent="0.25">
      <c r="A15" s="1" t="s">
        <v>242</v>
      </c>
      <c r="B15" s="1" t="s">
        <v>321</v>
      </c>
      <c r="C15" s="1" t="s">
        <v>184</v>
      </c>
      <c r="D15" s="3" t="s">
        <v>292</v>
      </c>
      <c r="E15" t="str">
        <f>IFERROR(VLOOKUP(C15,Contas!B:C,2,FALSE),"")</f>
        <v>Contador</v>
      </c>
    </row>
    <row r="16" spans="1:5" ht="15.75" x14ac:dyDescent="0.25">
      <c r="A16" s="1" t="s">
        <v>242</v>
      </c>
      <c r="B16" s="1" t="s">
        <v>275</v>
      </c>
      <c r="C16" s="1" t="s">
        <v>160</v>
      </c>
      <c r="D16" s="3" t="s">
        <v>276</v>
      </c>
      <c r="E16" t="str">
        <f>IFERROR(VLOOKUP(C16,Contas!B:C,2,FALSE),"")</f>
        <v>Pro-labore</v>
      </c>
    </row>
    <row r="17" spans="1:5" ht="15.75" x14ac:dyDescent="0.25">
      <c r="A17" s="1" t="s">
        <v>242</v>
      </c>
      <c r="B17" s="1" t="s">
        <v>283</v>
      </c>
      <c r="C17" s="1" t="s">
        <v>157</v>
      </c>
      <c r="D17" s="3" t="s">
        <v>284</v>
      </c>
      <c r="E17" t="str">
        <f>IFERROR(VLOOKUP(C17,Contas!B:C,2,FALSE),"")</f>
        <v>Salarios</v>
      </c>
    </row>
    <row r="18" spans="1:5" ht="15.75" x14ac:dyDescent="0.25">
      <c r="A18" s="1" t="s">
        <v>242</v>
      </c>
      <c r="B18" s="1" t="s">
        <v>256</v>
      </c>
      <c r="C18" s="1" t="s">
        <v>157</v>
      </c>
      <c r="D18" s="3" t="s">
        <v>257</v>
      </c>
      <c r="E18" t="str">
        <f>IFERROR(VLOOKUP(C18,Contas!B:C,2,FALSE),"")</f>
        <v>Salarios</v>
      </c>
    </row>
    <row r="19" spans="1:5" ht="15.75" x14ac:dyDescent="0.25">
      <c r="A19" s="1" t="s">
        <v>242</v>
      </c>
      <c r="B19" s="1" t="s">
        <v>281</v>
      </c>
      <c r="C19" s="1" t="s">
        <v>157</v>
      </c>
      <c r="D19" s="3" t="s">
        <v>282</v>
      </c>
      <c r="E19" t="str">
        <f>IFERROR(VLOOKUP(C19,Contas!B:C,2,FALSE),"")</f>
        <v>Salarios</v>
      </c>
    </row>
    <row r="20" spans="1:5" ht="15.75" x14ac:dyDescent="0.25">
      <c r="A20" s="1" t="s">
        <v>242</v>
      </c>
      <c r="B20" s="1" t="s">
        <v>273</v>
      </c>
      <c r="C20" s="1" t="s">
        <v>137</v>
      </c>
      <c r="D20" s="3" t="s">
        <v>274</v>
      </c>
      <c r="E20" t="str">
        <f>IFERROR(VLOOKUP(C20,Contas!B:C,2,FALSE),"")</f>
        <v>CMV</v>
      </c>
    </row>
    <row r="21" spans="1:5" ht="15.75" x14ac:dyDescent="0.25">
      <c r="A21" s="1" t="s">
        <v>242</v>
      </c>
      <c r="B21" s="1" t="s">
        <v>279</v>
      </c>
      <c r="C21" s="1" t="s">
        <v>157</v>
      </c>
      <c r="D21" s="3" t="s">
        <v>280</v>
      </c>
      <c r="E21" t="str">
        <f>IFERROR(VLOOKUP(C21,Contas!B:C,2,FALSE),"")</f>
        <v>Salarios</v>
      </c>
    </row>
    <row r="22" spans="1:5" ht="15.75" x14ac:dyDescent="0.25">
      <c r="A22" s="1" t="s">
        <v>242</v>
      </c>
      <c r="B22" s="1" t="s">
        <v>243</v>
      </c>
      <c r="C22" s="1" t="s">
        <v>125</v>
      </c>
      <c r="D22" s="2" t="s">
        <v>244</v>
      </c>
      <c r="E22" t="str">
        <f>IFERROR(VLOOKUP(C22,Contas!B:C,2,FALSE),"")</f>
        <v>Receitas Operacionais</v>
      </c>
    </row>
    <row r="23" spans="1:5" ht="15.75" x14ac:dyDescent="0.25">
      <c r="A23" s="1" t="s">
        <v>242</v>
      </c>
      <c r="B23" s="1" t="s">
        <v>271</v>
      </c>
      <c r="C23" s="1" t="s">
        <v>175</v>
      </c>
      <c r="D23" s="3" t="s">
        <v>272</v>
      </c>
      <c r="E23" t="str">
        <f>IFERROR(VLOOKUP(C23,Contas!B:C,2,FALSE),"")</f>
        <v>Telefone/Internet</v>
      </c>
    </row>
    <row r="24" spans="1:5" ht="15.75" x14ac:dyDescent="0.25">
      <c r="A24" s="1" t="s">
        <v>242</v>
      </c>
      <c r="B24" s="1" t="s">
        <v>262</v>
      </c>
      <c r="C24" s="1" t="s">
        <v>142</v>
      </c>
      <c r="D24" s="3" t="s">
        <v>263</v>
      </c>
      <c r="E24" t="str">
        <f>IFERROR(VLOOKUP(C24,Contas!B:C,2,FALSE),"")</f>
        <v>CMV Bebidas</v>
      </c>
    </row>
    <row r="25" spans="1:5" ht="15.75" x14ac:dyDescent="0.25">
      <c r="A25" s="1" t="s">
        <v>242</v>
      </c>
      <c r="B25" s="1" t="s">
        <v>245</v>
      </c>
      <c r="C25" s="1" t="s">
        <v>125</v>
      </c>
      <c r="D25" s="2" t="s">
        <v>246</v>
      </c>
      <c r="E25" t="str">
        <f>IFERROR(VLOOKUP(C25,Contas!B:C,2,FALSE),"")</f>
        <v>Receitas Operacionais</v>
      </c>
    </row>
    <row r="26" spans="1:5" ht="15.75" x14ac:dyDescent="0.25">
      <c r="A26" s="1" t="s">
        <v>242</v>
      </c>
      <c r="B26" s="1" t="s">
        <v>247</v>
      </c>
      <c r="C26" s="1" t="s">
        <v>125</v>
      </c>
      <c r="D26" s="2" t="s">
        <v>248</v>
      </c>
      <c r="E26" t="str">
        <f>IFERROR(VLOOKUP(C26,Contas!B:C,2,FALSE),"")</f>
        <v>Receitas Operacionais</v>
      </c>
    </row>
    <row r="27" spans="1:5" ht="15.75" x14ac:dyDescent="0.25">
      <c r="A27" s="1" t="s">
        <v>242</v>
      </c>
      <c r="B27" s="1" t="s">
        <v>225</v>
      </c>
      <c r="C27" s="1" t="s">
        <v>125</v>
      </c>
      <c r="D27" s="2" t="s">
        <v>249</v>
      </c>
      <c r="E27" t="str">
        <f>IFERROR(VLOOKUP(C27,Contas!B:C,2,FALSE),"")</f>
        <v>Receitas Operacionais</v>
      </c>
    </row>
    <row r="28" spans="1:5" ht="15.75" x14ac:dyDescent="0.25">
      <c r="A28" s="1" t="s">
        <v>242</v>
      </c>
      <c r="B28" s="1" t="s">
        <v>225</v>
      </c>
      <c r="C28" s="1" t="s">
        <v>125</v>
      </c>
      <c r="D28" s="2" t="s">
        <v>250</v>
      </c>
      <c r="E28" t="str">
        <f>IFERROR(VLOOKUP(C28,Contas!B:C,2,FALSE),"")</f>
        <v>Receitas Operacionais</v>
      </c>
    </row>
    <row r="29" spans="1:5" ht="15.75" x14ac:dyDescent="0.25">
      <c r="A29" s="1" t="s">
        <v>242</v>
      </c>
      <c r="B29" s="1" t="s">
        <v>225</v>
      </c>
      <c r="C29" s="1" t="s">
        <v>125</v>
      </c>
      <c r="D29" s="2" t="s">
        <v>251</v>
      </c>
      <c r="E29" t="str">
        <f>IFERROR(VLOOKUP(C29,Contas!B:C,2,FALSE),"")</f>
        <v>Receitas Operacionais</v>
      </c>
    </row>
    <row r="30" spans="1:5" ht="15.75" x14ac:dyDescent="0.25">
      <c r="A30" s="1" t="s">
        <v>242</v>
      </c>
      <c r="B30" s="1" t="s">
        <v>266</v>
      </c>
      <c r="C30" s="1" t="s">
        <v>137</v>
      </c>
      <c r="D30" s="3" t="s">
        <v>267</v>
      </c>
      <c r="E30" t="str">
        <f>IFERROR(VLOOKUP(C30,Contas!B:C,2,FALSE),"")</f>
        <v>CMV</v>
      </c>
    </row>
    <row r="31" spans="1:5" ht="15.75" x14ac:dyDescent="0.25">
      <c r="A31" s="1" t="s">
        <v>242</v>
      </c>
      <c r="B31" s="1" t="s">
        <v>266</v>
      </c>
      <c r="C31" s="1" t="s">
        <v>137</v>
      </c>
      <c r="D31" s="3" t="s">
        <v>270</v>
      </c>
      <c r="E31" t="str">
        <f>IFERROR(VLOOKUP(C31,Contas!B:C,2,FALSE),"")</f>
        <v>CMV</v>
      </c>
    </row>
    <row r="32" spans="1:5" ht="15.75" x14ac:dyDescent="0.25">
      <c r="A32" s="1" t="s">
        <v>242</v>
      </c>
      <c r="B32" s="1" t="s">
        <v>149</v>
      </c>
      <c r="C32" s="1" t="s">
        <v>148</v>
      </c>
      <c r="D32" s="3" t="s">
        <v>289</v>
      </c>
      <c r="E32" t="str">
        <f>IFERROR(VLOOKUP(C32,Contas!B:C,2,FALSE),"")</f>
        <v>Simples</v>
      </c>
    </row>
    <row r="33" spans="1:5" ht="15.75" x14ac:dyDescent="0.25">
      <c r="A33" s="1" t="s">
        <v>242</v>
      </c>
      <c r="B33" s="1" t="s">
        <v>260</v>
      </c>
      <c r="C33" s="1" t="s">
        <v>145</v>
      </c>
      <c r="D33" s="3" t="s">
        <v>261</v>
      </c>
      <c r="E33" t="str">
        <f>IFERROR(VLOOKUP(C33,Contas!B:C,2,FALSE),"")</f>
        <v>CMV peixes</v>
      </c>
    </row>
    <row r="34" spans="1:5" ht="15.75" x14ac:dyDescent="0.25">
      <c r="A34" s="1" t="s">
        <v>242</v>
      </c>
      <c r="B34" s="1" t="s">
        <v>287</v>
      </c>
      <c r="C34" s="1" t="s">
        <v>27</v>
      </c>
      <c r="D34" s="2" t="s">
        <v>288</v>
      </c>
      <c r="E34" t="str">
        <f>IFERROR(VLOOKUP(C34,Contas!B:C,2,FALSE),"")</f>
        <v>Banco Santander Rinaldo</v>
      </c>
    </row>
    <row r="35" spans="1:5" ht="15.75" x14ac:dyDescent="0.25">
      <c r="A35" s="1" t="s">
        <v>242</v>
      </c>
      <c r="B35" s="1" t="s">
        <v>235</v>
      </c>
      <c r="C35" s="1" t="s">
        <v>21</v>
      </c>
      <c r="D35" s="2" t="s">
        <v>252</v>
      </c>
      <c r="E35" t="str">
        <f>IFERROR(VLOOKUP(C35,Contas!B:C,2,FALSE),"")</f>
        <v>Banco Santader</v>
      </c>
    </row>
    <row r="36" spans="1:5" ht="15.75" x14ac:dyDescent="0.25">
      <c r="A36" s="1" t="s">
        <v>242</v>
      </c>
      <c r="B36" s="1" t="s">
        <v>235</v>
      </c>
      <c r="C36" s="1" t="s">
        <v>21</v>
      </c>
      <c r="D36" s="2" t="s">
        <v>255</v>
      </c>
      <c r="E36" t="str">
        <f>IFERROR(VLOOKUP(C36,Contas!B:C,2,FALSE),"")</f>
        <v>Banco Santader</v>
      </c>
    </row>
    <row r="37" spans="1:5" ht="15.75" x14ac:dyDescent="0.25">
      <c r="A37" s="1" t="s">
        <v>242</v>
      </c>
      <c r="B37" s="1" t="s">
        <v>253</v>
      </c>
      <c r="C37" s="1" t="s">
        <v>24</v>
      </c>
      <c r="D37" s="2" t="s">
        <v>254</v>
      </c>
      <c r="E37" t="str">
        <f>IFERROR(VLOOKUP(C37,Contas!B:C,2,FALSE),"")</f>
        <v>Banco Santander Patricia</v>
      </c>
    </row>
    <row r="38" spans="1:5" ht="15.75" x14ac:dyDescent="0.25">
      <c r="A38" s="1" t="s">
        <v>242</v>
      </c>
      <c r="B38" s="1" t="s">
        <v>258</v>
      </c>
      <c r="C38" s="1" t="s">
        <v>24</v>
      </c>
      <c r="D38" s="3" t="s">
        <v>259</v>
      </c>
      <c r="E38" t="str">
        <f>IFERROR(VLOOKUP(C38,Contas!B:C,2,FALSE),"")</f>
        <v>Banco Santander Patricia</v>
      </c>
    </row>
    <row r="39" spans="1:5" ht="15.75" x14ac:dyDescent="0.25">
      <c r="A39" s="1" t="s">
        <v>242</v>
      </c>
      <c r="B39" s="1" t="s">
        <v>290</v>
      </c>
      <c r="C39" s="1" t="s">
        <v>24</v>
      </c>
      <c r="D39" s="2" t="s">
        <v>291</v>
      </c>
      <c r="E39" t="str">
        <f>IFERROR(VLOOKUP(C39,Contas!B:C,2,FALSE),"")</f>
        <v>Banco Santander Patricia</v>
      </c>
    </row>
    <row r="40" spans="1:5" ht="15.75" x14ac:dyDescent="0.25">
      <c r="A40" s="1" t="s">
        <v>242</v>
      </c>
      <c r="B40" s="1" t="s">
        <v>268</v>
      </c>
      <c r="C40" s="1" t="s">
        <v>142</v>
      </c>
      <c r="D40" s="3" t="s">
        <v>269</v>
      </c>
      <c r="E40" t="str">
        <f>IFERROR(VLOOKUP(C40,Contas!B:C,2,FALSE),"")</f>
        <v>CMV Bebidas</v>
      </c>
    </row>
    <row r="41" spans="1:5" ht="15.75" x14ac:dyDescent="0.25">
      <c r="A41" s="1" t="s">
        <v>293</v>
      </c>
      <c r="B41" s="1" t="s">
        <v>297</v>
      </c>
      <c r="C41" s="1" t="s">
        <v>137</v>
      </c>
      <c r="D41" s="3" t="s">
        <v>298</v>
      </c>
      <c r="E41" t="str">
        <f>IFERROR(VLOOKUP(C41,Contas!B:C,2,FALSE),"")</f>
        <v>CMV</v>
      </c>
    </row>
    <row r="42" spans="1:5" ht="15.75" x14ac:dyDescent="0.25">
      <c r="A42" s="1" t="s">
        <v>293</v>
      </c>
      <c r="B42" s="1" t="s">
        <v>304</v>
      </c>
      <c r="C42" s="1" t="s">
        <v>137</v>
      </c>
      <c r="D42" s="3" t="s">
        <v>305</v>
      </c>
      <c r="E42" t="str">
        <f>IFERROR(VLOOKUP(C42,Contas!B:C,2,FALSE),"")</f>
        <v>CMV</v>
      </c>
    </row>
    <row r="43" spans="1:5" ht="15.75" x14ac:dyDescent="0.25">
      <c r="A43" s="1" t="s">
        <v>293</v>
      </c>
      <c r="B43" s="1" t="s">
        <v>225</v>
      </c>
      <c r="C43" s="1" t="s">
        <v>125</v>
      </c>
      <c r="D43" s="2" t="s">
        <v>294</v>
      </c>
      <c r="E43" t="str">
        <f>IFERROR(VLOOKUP(C43,Contas!B:C,2,FALSE),"")</f>
        <v>Receitas Operacionais</v>
      </c>
    </row>
    <row r="44" spans="1:5" ht="15.75" x14ac:dyDescent="0.25">
      <c r="A44" s="1" t="s">
        <v>293</v>
      </c>
      <c r="B44" s="1" t="s">
        <v>225</v>
      </c>
      <c r="C44" s="1" t="s">
        <v>125</v>
      </c>
      <c r="D44" s="2" t="s">
        <v>295</v>
      </c>
      <c r="E44" t="str">
        <f>IFERROR(VLOOKUP(C44,Contas!B:C,2,FALSE),"")</f>
        <v>Receitas Operacionais</v>
      </c>
    </row>
    <row r="45" spans="1:5" ht="15.75" x14ac:dyDescent="0.25">
      <c r="A45" s="1" t="s">
        <v>293</v>
      </c>
      <c r="B45" s="1" t="s">
        <v>225</v>
      </c>
      <c r="C45" s="1" t="s">
        <v>125</v>
      </c>
      <c r="D45" s="2" t="s">
        <v>310</v>
      </c>
      <c r="E45" t="str">
        <f>IFERROR(VLOOKUP(C45,Contas!B:C,2,FALSE),"")</f>
        <v>Receitas Operacionais</v>
      </c>
    </row>
    <row r="46" spans="1:5" ht="15.75" x14ac:dyDescent="0.25">
      <c r="A46" s="1" t="s">
        <v>293</v>
      </c>
      <c r="B46" s="1" t="s">
        <v>225</v>
      </c>
      <c r="C46" s="1" t="s">
        <v>125</v>
      </c>
      <c r="D46" s="2" t="s">
        <v>311</v>
      </c>
      <c r="E46" t="str">
        <f>IFERROR(VLOOKUP(C46,Contas!B:C,2,FALSE),"")</f>
        <v>Receitas Operacionais</v>
      </c>
    </row>
    <row r="47" spans="1:5" ht="15.75" x14ac:dyDescent="0.25">
      <c r="A47" s="1" t="s">
        <v>293</v>
      </c>
      <c r="B47" s="1" t="s">
        <v>266</v>
      </c>
      <c r="C47" s="1" t="s">
        <v>137</v>
      </c>
      <c r="D47" s="3" t="s">
        <v>301</v>
      </c>
      <c r="E47" t="str">
        <f>IFERROR(VLOOKUP(C47,Contas!B:C,2,FALSE),"")</f>
        <v>CMV</v>
      </c>
    </row>
    <row r="48" spans="1:5" ht="15.75" x14ac:dyDescent="0.25">
      <c r="A48" s="1" t="s">
        <v>293</v>
      </c>
      <c r="B48" s="1" t="s">
        <v>308</v>
      </c>
      <c r="C48" s="1" t="s">
        <v>163</v>
      </c>
      <c r="D48" s="3" t="s">
        <v>309</v>
      </c>
      <c r="E48" t="str">
        <f>IFERROR(VLOOKUP(C48,Contas!B:C,2,FALSE),"")</f>
        <v>Diarias</v>
      </c>
    </row>
    <row r="49" spans="1:5" ht="15.75" x14ac:dyDescent="0.25">
      <c r="A49" s="1" t="s">
        <v>293</v>
      </c>
      <c r="B49" s="1" t="s">
        <v>299</v>
      </c>
      <c r="C49" s="1" t="s">
        <v>145</v>
      </c>
      <c r="D49" s="3" t="s">
        <v>300</v>
      </c>
      <c r="E49" t="str">
        <f>IFERROR(VLOOKUP(C49,Contas!B:C,2,FALSE),"")</f>
        <v>CMV peixes</v>
      </c>
    </row>
    <row r="50" spans="1:5" ht="15.75" x14ac:dyDescent="0.25">
      <c r="A50" s="1" t="s">
        <v>293</v>
      </c>
      <c r="B50" s="1" t="s">
        <v>235</v>
      </c>
      <c r="C50" s="1" t="s">
        <v>21</v>
      </c>
      <c r="D50" s="2" t="s">
        <v>296</v>
      </c>
      <c r="E50" t="str">
        <f>IFERROR(VLOOKUP(C50,Contas!B:C,2,FALSE),"")</f>
        <v>Banco Santader</v>
      </c>
    </row>
    <row r="51" spans="1:5" ht="15.75" x14ac:dyDescent="0.25">
      <c r="A51" s="1" t="s">
        <v>293</v>
      </c>
      <c r="B51" s="1" t="s">
        <v>302</v>
      </c>
      <c r="C51" s="1" t="s">
        <v>27</v>
      </c>
      <c r="D51" s="2" t="s">
        <v>303</v>
      </c>
      <c r="E51" t="str">
        <f>IFERROR(VLOOKUP(C51,Contas!B:C,2,FALSE),"")</f>
        <v>Banco Santander Rinaldo</v>
      </c>
    </row>
    <row r="52" spans="1:5" ht="15.75" x14ac:dyDescent="0.25">
      <c r="A52" s="1" t="s">
        <v>293</v>
      </c>
      <c r="B52" s="1" t="s">
        <v>306</v>
      </c>
      <c r="C52" s="1" t="s">
        <v>18</v>
      </c>
      <c r="D52" s="3" t="s">
        <v>307</v>
      </c>
      <c r="E52" t="str">
        <f>IFERROR(VLOOKUP(C52,Contas!B:C,2,FALSE),"")</f>
        <v>Banco Sicoob RinaldoI</v>
      </c>
    </row>
    <row r="53" spans="1:5" ht="15.75" x14ac:dyDescent="0.25">
      <c r="A53" s="1" t="s">
        <v>312</v>
      </c>
      <c r="B53" s="1" t="s">
        <v>313</v>
      </c>
      <c r="C53" s="1" t="s">
        <v>9</v>
      </c>
      <c r="D53" s="2" t="s">
        <v>314</v>
      </c>
      <c r="E53" t="str">
        <f>IFERROR(VLOOKUP(C53,Contas!B:C,2,FALSE),"")</f>
        <v>Caixa</v>
      </c>
    </row>
    <row r="54" spans="1:5" ht="15.75" x14ac:dyDescent="0.25">
      <c r="A54" s="1" t="s">
        <v>312</v>
      </c>
      <c r="B54" s="1" t="s">
        <v>315</v>
      </c>
      <c r="C54" s="1" t="s">
        <v>137</v>
      </c>
      <c r="D54" s="3" t="s">
        <v>316</v>
      </c>
      <c r="E54" t="str">
        <f>IFERROR(VLOOKUP(C54,Contas!B:C,2,FALSE),"")</f>
        <v>CMV</v>
      </c>
    </row>
    <row r="55" spans="1:5" ht="15.75" x14ac:dyDescent="0.25">
      <c r="A55" s="1" t="s">
        <v>312</v>
      </c>
      <c r="B55" s="1" t="s">
        <v>225</v>
      </c>
      <c r="C55" s="1" t="s">
        <v>125</v>
      </c>
      <c r="D55" s="2" t="s">
        <v>317</v>
      </c>
      <c r="E55" t="str">
        <f>IFERROR(VLOOKUP(C55,Contas!B:C,2,FALSE),"")</f>
        <v>Receitas Operacionais</v>
      </c>
    </row>
    <row r="56" spans="1:5" ht="15.75" x14ac:dyDescent="0.25">
      <c r="A56" s="1" t="s">
        <v>312</v>
      </c>
      <c r="B56" s="1" t="s">
        <v>225</v>
      </c>
      <c r="C56" s="1" t="s">
        <v>125</v>
      </c>
      <c r="D56" s="2" t="s">
        <v>226</v>
      </c>
      <c r="E56" t="str">
        <f>IFERROR(VLOOKUP(C56,Contas!B:C,2,FALSE),"")</f>
        <v>Receitas Operacionais</v>
      </c>
    </row>
    <row r="57" spans="1:5" ht="15.75" x14ac:dyDescent="0.25">
      <c r="A57" s="1" t="s">
        <v>318</v>
      </c>
      <c r="B57" s="1" t="s">
        <v>225</v>
      </c>
      <c r="C57" s="1" t="s">
        <v>125</v>
      </c>
      <c r="D57" s="2" t="s">
        <v>319</v>
      </c>
      <c r="E57" t="str">
        <f>IFERROR(VLOOKUP(C57,Contas!B:C,2,FALSE),"")</f>
        <v>Receitas Operacionais</v>
      </c>
    </row>
    <row r="58" spans="1:5" ht="15.75" x14ac:dyDescent="0.25">
      <c r="A58" t="s">
        <v>221</v>
      </c>
      <c r="B58" t="s">
        <v>221</v>
      </c>
      <c r="C58" t="s">
        <v>221</v>
      </c>
      <c r="E58" t="str">
        <f>IFERROR(VLOOKUP(C58,Contas!B:C,2,FALSE),"")</f>
        <v/>
      </c>
    </row>
    <row r="59" spans="1:5" ht="15.75" x14ac:dyDescent="0.25">
      <c r="A59" t="s">
        <v>221</v>
      </c>
      <c r="B59" t="s">
        <v>221</v>
      </c>
      <c r="C59" t="s">
        <v>221</v>
      </c>
      <c r="E59" t="str">
        <f>IFERROR(VLOOKUP(C59,Contas!B:C,2,FALSE),"")</f>
        <v/>
      </c>
    </row>
    <row r="60" spans="1:5" ht="15.75" x14ac:dyDescent="0.25">
      <c r="A60" t="s">
        <v>221</v>
      </c>
      <c r="B60" t="s">
        <v>221</v>
      </c>
      <c r="C60" t="s">
        <v>221</v>
      </c>
      <c r="E60" t="str">
        <f>IFERROR(VLOOKUP(C60,Contas!B:C,2,FALSE),"")</f>
        <v/>
      </c>
    </row>
    <row r="61" spans="1:5" ht="15.75" x14ac:dyDescent="0.25">
      <c r="A61" t="s">
        <v>221</v>
      </c>
      <c r="B61" t="s">
        <v>221</v>
      </c>
      <c r="C61" t="s">
        <v>221</v>
      </c>
      <c r="E61" t="str">
        <f>IFERROR(VLOOKUP(C61,Contas!B:C,2,FALSE),"")</f>
        <v/>
      </c>
    </row>
    <row r="62" spans="1:5" ht="15.75" x14ac:dyDescent="0.25">
      <c r="A62" t="s">
        <v>221</v>
      </c>
      <c r="B62" t="s">
        <v>221</v>
      </c>
      <c r="C62" t="s">
        <v>221</v>
      </c>
      <c r="E62" t="str">
        <f>IFERROR(VLOOKUP(C62,Contas!B:C,2,FALSE),"")</f>
        <v/>
      </c>
    </row>
    <row r="63" spans="1:5" ht="15.75" x14ac:dyDescent="0.25">
      <c r="A63" t="s">
        <v>221</v>
      </c>
      <c r="B63" t="s">
        <v>221</v>
      </c>
      <c r="C63" t="s">
        <v>221</v>
      </c>
      <c r="E63" t="str">
        <f>IFERROR(VLOOKUP(C63,Contas!B:C,2,FALSE),"")</f>
        <v/>
      </c>
    </row>
    <row r="64" spans="1:5" ht="15.75" x14ac:dyDescent="0.25">
      <c r="A64" t="s">
        <v>221</v>
      </c>
      <c r="B64" t="s">
        <v>221</v>
      </c>
      <c r="C64" t="s">
        <v>221</v>
      </c>
      <c r="E64" t="str">
        <f>IFERROR(VLOOKUP(C64,Contas!B:C,2,FALSE),"")</f>
        <v/>
      </c>
    </row>
    <row r="65" spans="1:5" ht="15.75" x14ac:dyDescent="0.25">
      <c r="A65" t="s">
        <v>221</v>
      </c>
      <c r="B65" t="s">
        <v>221</v>
      </c>
      <c r="C65" t="s">
        <v>221</v>
      </c>
      <c r="E65" t="str">
        <f>IFERROR(VLOOKUP(C65,Contas!B:C,2,FALSE),"")</f>
        <v/>
      </c>
    </row>
    <row r="66" spans="1:5" ht="15.75" x14ac:dyDescent="0.25">
      <c r="A66" t="s">
        <v>221</v>
      </c>
      <c r="B66" t="s">
        <v>221</v>
      </c>
      <c r="C66" t="s">
        <v>221</v>
      </c>
      <c r="E66" t="str">
        <f>IFERROR(VLOOKUP(C66,Contas!B:C,2,FALSE),"")</f>
        <v/>
      </c>
    </row>
    <row r="67" spans="1:5" ht="15.75" x14ac:dyDescent="0.25">
      <c r="A67" t="s">
        <v>221</v>
      </c>
      <c r="B67" t="s">
        <v>221</v>
      </c>
      <c r="C67" t="s">
        <v>221</v>
      </c>
      <c r="E67" t="str">
        <f>IFERROR(VLOOKUP(C67,Contas!B:C,2,FALSE),"")</f>
        <v/>
      </c>
    </row>
    <row r="68" spans="1:5" ht="15.75" x14ac:dyDescent="0.25">
      <c r="A68" t="s">
        <v>221</v>
      </c>
      <c r="B68" t="s">
        <v>221</v>
      </c>
      <c r="C68" t="s">
        <v>221</v>
      </c>
      <c r="E68" t="str">
        <f>IFERROR(VLOOKUP(C68,Contas!B:C,2,FALSE),"")</f>
        <v/>
      </c>
    </row>
    <row r="69" spans="1:5" ht="15.75" x14ac:dyDescent="0.25">
      <c r="A69" t="s">
        <v>221</v>
      </c>
      <c r="B69" t="s">
        <v>221</v>
      </c>
      <c r="C69" t="s">
        <v>221</v>
      </c>
      <c r="E69" t="str">
        <f>IFERROR(VLOOKUP(C69,Contas!B:C,2,FALSE),"")</f>
        <v/>
      </c>
    </row>
    <row r="70" spans="1:5" ht="15.75" x14ac:dyDescent="0.25">
      <c r="A70" t="s">
        <v>221</v>
      </c>
      <c r="B70" t="s">
        <v>221</v>
      </c>
      <c r="C70" t="s">
        <v>221</v>
      </c>
      <c r="E70" t="str">
        <f>IFERROR(VLOOKUP(C70,Contas!B:C,2,FALSE),"")</f>
        <v/>
      </c>
    </row>
    <row r="71" spans="1:5" ht="15.75" x14ac:dyDescent="0.25">
      <c r="A71" t="s">
        <v>221</v>
      </c>
      <c r="B71" t="s">
        <v>221</v>
      </c>
      <c r="C71" t="s">
        <v>221</v>
      </c>
      <c r="E71" t="str">
        <f>IFERROR(VLOOKUP(C71,Contas!B:C,2,FALSE),"")</f>
        <v/>
      </c>
    </row>
    <row r="72" spans="1:5" ht="15.75" x14ac:dyDescent="0.25">
      <c r="A72" t="s">
        <v>221</v>
      </c>
      <c r="B72" t="s">
        <v>221</v>
      </c>
      <c r="C72" t="s">
        <v>221</v>
      </c>
      <c r="E72" t="str">
        <f>IFERROR(VLOOKUP(C72,Contas!B:C,2,FALSE),"")</f>
        <v/>
      </c>
    </row>
    <row r="73" spans="1:5" ht="15.75" x14ac:dyDescent="0.25">
      <c r="A73" t="s">
        <v>221</v>
      </c>
      <c r="B73" t="s">
        <v>221</v>
      </c>
      <c r="C73" t="s">
        <v>221</v>
      </c>
      <c r="E73" t="str">
        <f>IFERROR(VLOOKUP(C73,Contas!B:C,2,FALSE),"")</f>
        <v/>
      </c>
    </row>
    <row r="74" spans="1:5" ht="15.75" x14ac:dyDescent="0.25">
      <c r="A74" t="s">
        <v>221</v>
      </c>
      <c r="B74" t="s">
        <v>221</v>
      </c>
      <c r="C74" t="s">
        <v>221</v>
      </c>
      <c r="E74" t="str">
        <f>IFERROR(VLOOKUP(C74,Contas!B:C,2,FALSE),"")</f>
        <v/>
      </c>
    </row>
    <row r="75" spans="1:5" ht="15.75" x14ac:dyDescent="0.25">
      <c r="A75" t="s">
        <v>221</v>
      </c>
      <c r="B75" t="s">
        <v>221</v>
      </c>
      <c r="C75" t="s">
        <v>221</v>
      </c>
      <c r="E75" t="str">
        <f>IFERROR(VLOOKUP(C75,Contas!B:C,2,FALSE),"")</f>
        <v/>
      </c>
    </row>
    <row r="76" spans="1:5" ht="15.75" x14ac:dyDescent="0.25">
      <c r="A76" t="s">
        <v>221</v>
      </c>
      <c r="B76" t="s">
        <v>221</v>
      </c>
      <c r="C76" t="s">
        <v>221</v>
      </c>
      <c r="E76" t="str">
        <f>IFERROR(VLOOKUP(C76,Contas!B:C,2,FALSE),"")</f>
        <v/>
      </c>
    </row>
    <row r="77" spans="1:5" ht="15.75" x14ac:dyDescent="0.25">
      <c r="A77" t="s">
        <v>221</v>
      </c>
      <c r="B77" t="s">
        <v>221</v>
      </c>
      <c r="C77" t="s">
        <v>221</v>
      </c>
      <c r="E77" t="str">
        <f>IFERROR(VLOOKUP(C77,Contas!B:C,2,FALSE),"")</f>
        <v/>
      </c>
    </row>
    <row r="78" spans="1:5" ht="15.75" x14ac:dyDescent="0.25">
      <c r="A78" t="s">
        <v>221</v>
      </c>
      <c r="B78" t="s">
        <v>221</v>
      </c>
      <c r="C78" t="s">
        <v>221</v>
      </c>
      <c r="E78" t="str">
        <f>IFERROR(VLOOKUP(C78,Contas!B:C,2,FALSE),"")</f>
        <v/>
      </c>
    </row>
    <row r="79" spans="1:5" ht="15.75" x14ac:dyDescent="0.25">
      <c r="A79" t="s">
        <v>221</v>
      </c>
      <c r="B79" t="s">
        <v>221</v>
      </c>
      <c r="C79" t="s">
        <v>221</v>
      </c>
      <c r="E79" t="str">
        <f>IFERROR(VLOOKUP(C79,Contas!B:C,2,FALSE),"")</f>
        <v/>
      </c>
    </row>
    <row r="80" spans="1:5" ht="15.75" x14ac:dyDescent="0.25">
      <c r="A80" t="s">
        <v>221</v>
      </c>
      <c r="B80" t="s">
        <v>221</v>
      </c>
      <c r="C80" t="s">
        <v>221</v>
      </c>
      <c r="E80" t="str">
        <f>IFERROR(VLOOKUP(C80,Contas!B:C,2,FALSE),"")</f>
        <v/>
      </c>
    </row>
    <row r="81" spans="1:5" ht="15.75" x14ac:dyDescent="0.25">
      <c r="A81" t="s">
        <v>221</v>
      </c>
      <c r="B81" t="s">
        <v>221</v>
      </c>
      <c r="C81" t="s">
        <v>221</v>
      </c>
      <c r="E81" t="str">
        <f>IFERROR(VLOOKUP(C81,Contas!B:C,2,FALSE),"")</f>
        <v/>
      </c>
    </row>
    <row r="82" spans="1:5" ht="15.75" x14ac:dyDescent="0.25">
      <c r="A82" t="s">
        <v>221</v>
      </c>
      <c r="B82" t="s">
        <v>221</v>
      </c>
      <c r="C82" t="s">
        <v>221</v>
      </c>
      <c r="E82" t="str">
        <f>IFERROR(VLOOKUP(C82,Contas!B:C,2,FALSE),"")</f>
        <v/>
      </c>
    </row>
    <row r="83" spans="1:5" ht="15.75" x14ac:dyDescent="0.25">
      <c r="A83" t="s">
        <v>221</v>
      </c>
      <c r="B83" t="s">
        <v>221</v>
      </c>
      <c r="C83" t="s">
        <v>221</v>
      </c>
      <c r="E83" t="str">
        <f>IFERROR(VLOOKUP(C83,Contas!B:C,2,FALSE),"")</f>
        <v/>
      </c>
    </row>
    <row r="84" spans="1:5" ht="15.75" x14ac:dyDescent="0.25">
      <c r="A84" t="s">
        <v>221</v>
      </c>
      <c r="B84" t="s">
        <v>221</v>
      </c>
      <c r="C84" t="s">
        <v>221</v>
      </c>
      <c r="E84" t="str">
        <f>IFERROR(VLOOKUP(C84,Contas!B:C,2,FALSE),"")</f>
        <v/>
      </c>
    </row>
    <row r="85" spans="1:5" ht="15.75" x14ac:dyDescent="0.25">
      <c r="A85" t="s">
        <v>221</v>
      </c>
      <c r="B85" t="s">
        <v>221</v>
      </c>
      <c r="C85" t="s">
        <v>221</v>
      </c>
      <c r="E85" t="str">
        <f>IFERROR(VLOOKUP(C85,Contas!B:C,2,FALSE),"")</f>
        <v/>
      </c>
    </row>
    <row r="86" spans="1:5" ht="15.75" x14ac:dyDescent="0.25">
      <c r="A86" t="s">
        <v>221</v>
      </c>
      <c r="B86" t="s">
        <v>221</v>
      </c>
      <c r="C86" t="s">
        <v>221</v>
      </c>
      <c r="E86" t="str">
        <f>IFERROR(VLOOKUP(C86,Contas!B:C,2,FALSE),"")</f>
        <v/>
      </c>
    </row>
    <row r="87" spans="1:5" ht="15.75" x14ac:dyDescent="0.25">
      <c r="A87" t="s">
        <v>221</v>
      </c>
      <c r="B87" t="s">
        <v>221</v>
      </c>
      <c r="C87" t="s">
        <v>221</v>
      </c>
      <c r="E87" t="str">
        <f>IFERROR(VLOOKUP(C87,Contas!B:C,2,FALSE),"")</f>
        <v/>
      </c>
    </row>
    <row r="88" spans="1:5" ht="15.75" x14ac:dyDescent="0.25">
      <c r="A88" t="s">
        <v>221</v>
      </c>
      <c r="B88" t="s">
        <v>221</v>
      </c>
      <c r="C88" t="s">
        <v>221</v>
      </c>
      <c r="E88" t="str">
        <f>IFERROR(VLOOKUP(C88,Contas!B:C,2,FALSE),"")</f>
        <v/>
      </c>
    </row>
    <row r="89" spans="1:5" ht="15.75" x14ac:dyDescent="0.25">
      <c r="A89" t="s">
        <v>221</v>
      </c>
      <c r="B89" t="s">
        <v>221</v>
      </c>
      <c r="C89" t="s">
        <v>221</v>
      </c>
      <c r="E89" t="str">
        <f>IFERROR(VLOOKUP(C89,Contas!B:C,2,FALSE),"")</f>
        <v/>
      </c>
    </row>
    <row r="90" spans="1:5" ht="15.75" x14ac:dyDescent="0.25">
      <c r="A90" t="s">
        <v>221</v>
      </c>
      <c r="B90" t="s">
        <v>221</v>
      </c>
      <c r="C90" t="s">
        <v>221</v>
      </c>
      <c r="E90" t="str">
        <f>IFERROR(VLOOKUP(C90,Contas!B:C,2,FALSE),"")</f>
        <v/>
      </c>
    </row>
    <row r="91" spans="1:5" ht="15.75" x14ac:dyDescent="0.25">
      <c r="A91" t="s">
        <v>221</v>
      </c>
      <c r="B91" t="s">
        <v>221</v>
      </c>
      <c r="C91" t="s">
        <v>221</v>
      </c>
      <c r="E91" t="str">
        <f>IFERROR(VLOOKUP(C91,Contas!B:C,2,FALSE),"")</f>
        <v/>
      </c>
    </row>
    <row r="92" spans="1:5" ht="15.75" x14ac:dyDescent="0.25">
      <c r="A92" t="s">
        <v>221</v>
      </c>
      <c r="B92" t="s">
        <v>221</v>
      </c>
      <c r="C92" t="s">
        <v>221</v>
      </c>
      <c r="E92" t="str">
        <f>IFERROR(VLOOKUP(C92,Contas!B:C,2,FALSE),"")</f>
        <v/>
      </c>
    </row>
    <row r="93" spans="1:5" ht="15.75" x14ac:dyDescent="0.25">
      <c r="A93" t="s">
        <v>221</v>
      </c>
      <c r="B93" t="s">
        <v>221</v>
      </c>
      <c r="C93" t="s">
        <v>221</v>
      </c>
      <c r="E93" t="str">
        <f>IFERROR(VLOOKUP(C93,Contas!B:C,2,FALSE),"")</f>
        <v/>
      </c>
    </row>
    <row r="94" spans="1:5" ht="15.75" x14ac:dyDescent="0.25">
      <c r="A94" t="s">
        <v>221</v>
      </c>
      <c r="B94" t="s">
        <v>221</v>
      </c>
      <c r="C94" t="s">
        <v>221</v>
      </c>
      <c r="E94" t="str">
        <f>IFERROR(VLOOKUP(C94,Contas!B:C,2,FALSE),"")</f>
        <v/>
      </c>
    </row>
    <row r="95" spans="1:5" ht="15.75" x14ac:dyDescent="0.25">
      <c r="A95" t="s">
        <v>221</v>
      </c>
      <c r="B95" t="s">
        <v>221</v>
      </c>
      <c r="C95" t="s">
        <v>221</v>
      </c>
      <c r="E95" t="str">
        <f>IFERROR(VLOOKUP(C95,Contas!B:C,2,FALSE),"")</f>
        <v/>
      </c>
    </row>
    <row r="96" spans="1:5" ht="15.75" x14ac:dyDescent="0.25">
      <c r="A96" t="s">
        <v>221</v>
      </c>
      <c r="B96" t="s">
        <v>221</v>
      </c>
      <c r="C96" t="s">
        <v>221</v>
      </c>
      <c r="E96" t="str">
        <f>IFERROR(VLOOKUP(C96,Contas!B:C,2,FALSE),"")</f>
        <v/>
      </c>
    </row>
    <row r="97" spans="1:5" ht="15.75" x14ac:dyDescent="0.25">
      <c r="A97" t="s">
        <v>221</v>
      </c>
      <c r="B97" t="s">
        <v>221</v>
      </c>
      <c r="C97" t="s">
        <v>221</v>
      </c>
      <c r="E97" t="str">
        <f>IFERROR(VLOOKUP(C97,Contas!B:C,2,FALSE),"")</f>
        <v/>
      </c>
    </row>
    <row r="98" spans="1:5" ht="15.75" x14ac:dyDescent="0.25">
      <c r="A98" t="s">
        <v>221</v>
      </c>
      <c r="B98" t="s">
        <v>221</v>
      </c>
      <c r="C98" t="s">
        <v>221</v>
      </c>
      <c r="E98" t="str">
        <f>IFERROR(VLOOKUP(C98,Contas!B:C,2,FALSE),"")</f>
        <v/>
      </c>
    </row>
    <row r="99" spans="1:5" ht="15.75" x14ac:dyDescent="0.25">
      <c r="A99" t="s">
        <v>221</v>
      </c>
      <c r="B99" t="s">
        <v>221</v>
      </c>
      <c r="C99" t="s">
        <v>221</v>
      </c>
      <c r="E99" t="str">
        <f>IFERROR(VLOOKUP(C99,Contas!B:C,2,FALSE),"")</f>
        <v/>
      </c>
    </row>
    <row r="100" spans="1:5" ht="15.75" x14ac:dyDescent="0.25">
      <c r="A100" t="s">
        <v>221</v>
      </c>
      <c r="B100" t="s">
        <v>221</v>
      </c>
      <c r="C100" t="s">
        <v>221</v>
      </c>
      <c r="E100" t="str">
        <f>IFERROR(VLOOKUP(C100,Contas!B:C,2,FALSE),"")</f>
        <v/>
      </c>
    </row>
    <row r="101" spans="1:5" ht="15.75" x14ac:dyDescent="0.25">
      <c r="A101" t="s">
        <v>221</v>
      </c>
      <c r="B101" t="s">
        <v>221</v>
      </c>
      <c r="C101" t="s">
        <v>221</v>
      </c>
      <c r="E101" t="str">
        <f>IFERROR(VLOOKUP(C101,Contas!B:C,2,FALSE),"")</f>
        <v/>
      </c>
    </row>
    <row r="102" spans="1:5" ht="15.75" x14ac:dyDescent="0.25">
      <c r="A102" t="s">
        <v>221</v>
      </c>
      <c r="B102" t="s">
        <v>221</v>
      </c>
      <c r="C102" t="s">
        <v>221</v>
      </c>
      <c r="E102" t="str">
        <f>IFERROR(VLOOKUP(C102,Contas!B:C,2,FALSE),"")</f>
        <v/>
      </c>
    </row>
    <row r="103" spans="1:5" ht="15.75" x14ac:dyDescent="0.25">
      <c r="A103" t="s">
        <v>221</v>
      </c>
      <c r="B103" t="s">
        <v>221</v>
      </c>
      <c r="C103" t="s">
        <v>221</v>
      </c>
      <c r="E103" t="str">
        <f>IFERROR(VLOOKUP(C103,Contas!B:C,2,FALSE),"")</f>
        <v/>
      </c>
    </row>
    <row r="104" spans="1:5" ht="15.75" x14ac:dyDescent="0.25">
      <c r="A104" t="s">
        <v>221</v>
      </c>
      <c r="B104" t="s">
        <v>221</v>
      </c>
      <c r="C104" t="s">
        <v>221</v>
      </c>
      <c r="E104" t="str">
        <f>IFERROR(VLOOKUP(C104,Contas!B:C,2,FALSE),"")</f>
        <v/>
      </c>
    </row>
    <row r="105" spans="1:5" ht="15.75" x14ac:dyDescent="0.25">
      <c r="A105" t="s">
        <v>221</v>
      </c>
      <c r="B105" t="s">
        <v>221</v>
      </c>
      <c r="C105" t="s">
        <v>221</v>
      </c>
      <c r="E105" t="str">
        <f>IFERROR(VLOOKUP(C105,Contas!B:C,2,FALSE),"")</f>
        <v/>
      </c>
    </row>
    <row r="106" spans="1:5" ht="15.75" x14ac:dyDescent="0.25">
      <c r="A106" t="s">
        <v>221</v>
      </c>
      <c r="B106" t="s">
        <v>221</v>
      </c>
      <c r="C106" t="s">
        <v>221</v>
      </c>
      <c r="E106" t="str">
        <f>IFERROR(VLOOKUP(C106,Contas!B:C,2,FALSE),"")</f>
        <v/>
      </c>
    </row>
    <row r="107" spans="1:5" ht="15.75" x14ac:dyDescent="0.25">
      <c r="A107" t="s">
        <v>221</v>
      </c>
      <c r="B107" t="s">
        <v>221</v>
      </c>
      <c r="C107" t="s">
        <v>221</v>
      </c>
      <c r="E107" t="str">
        <f>IFERROR(VLOOKUP(C107,Contas!B:C,2,FALSE),"")</f>
        <v/>
      </c>
    </row>
    <row r="108" spans="1:5" ht="15.75" x14ac:dyDescent="0.25">
      <c r="A108" t="s">
        <v>221</v>
      </c>
      <c r="B108" t="s">
        <v>221</v>
      </c>
      <c r="C108" t="s">
        <v>221</v>
      </c>
      <c r="E108" t="str">
        <f>IFERROR(VLOOKUP(C108,Contas!B:C,2,FALSE),"")</f>
        <v/>
      </c>
    </row>
    <row r="109" spans="1:5" ht="15.75" x14ac:dyDescent="0.25">
      <c r="A109" t="s">
        <v>221</v>
      </c>
      <c r="B109" t="s">
        <v>221</v>
      </c>
      <c r="C109" t="s">
        <v>221</v>
      </c>
      <c r="E109" t="str">
        <f>IFERROR(VLOOKUP(C109,Contas!B:C,2,FALSE),"")</f>
        <v/>
      </c>
    </row>
    <row r="110" spans="1:5" ht="15.75" x14ac:dyDescent="0.25">
      <c r="A110" t="s">
        <v>221</v>
      </c>
      <c r="B110" t="s">
        <v>221</v>
      </c>
      <c r="C110" t="s">
        <v>221</v>
      </c>
      <c r="E110" t="str">
        <f>IFERROR(VLOOKUP(C110,Contas!B:C,2,FALSE),"")</f>
        <v/>
      </c>
    </row>
    <row r="111" spans="1:5" ht="15.75" x14ac:dyDescent="0.25">
      <c r="A111" t="s">
        <v>221</v>
      </c>
      <c r="B111" t="s">
        <v>221</v>
      </c>
      <c r="C111" t="s">
        <v>221</v>
      </c>
      <c r="E111" t="str">
        <f>IFERROR(VLOOKUP(C111,Contas!B:C,2,FALSE),"")</f>
        <v/>
      </c>
    </row>
    <row r="112" spans="1:5" ht="15.75" x14ac:dyDescent="0.25">
      <c r="A112" t="s">
        <v>221</v>
      </c>
      <c r="B112" t="s">
        <v>221</v>
      </c>
      <c r="C112" t="s">
        <v>221</v>
      </c>
      <c r="E112" t="str">
        <f>IFERROR(VLOOKUP(C112,Contas!B:C,2,FALSE),"")</f>
        <v/>
      </c>
    </row>
    <row r="113" spans="1:5" ht="15.75" x14ac:dyDescent="0.25">
      <c r="A113" t="s">
        <v>221</v>
      </c>
      <c r="B113" t="s">
        <v>221</v>
      </c>
      <c r="C113" t="s">
        <v>221</v>
      </c>
      <c r="E113" t="str">
        <f>IFERROR(VLOOKUP(C113,Contas!B:C,2,FALSE),"")</f>
        <v/>
      </c>
    </row>
    <row r="114" spans="1:5" ht="15.75" x14ac:dyDescent="0.25">
      <c r="A114" t="s">
        <v>221</v>
      </c>
      <c r="B114" t="s">
        <v>221</v>
      </c>
      <c r="C114" t="s">
        <v>221</v>
      </c>
      <c r="E114" t="str">
        <f>IFERROR(VLOOKUP(C114,Contas!B:C,2,FALSE),"")</f>
        <v/>
      </c>
    </row>
    <row r="115" spans="1:5" ht="15.75" x14ac:dyDescent="0.25">
      <c r="A115" t="s">
        <v>221</v>
      </c>
      <c r="B115" t="s">
        <v>221</v>
      </c>
      <c r="C115" t="s">
        <v>221</v>
      </c>
      <c r="E115" t="str">
        <f>IFERROR(VLOOKUP(C115,Contas!B:C,2,FALSE),"")</f>
        <v/>
      </c>
    </row>
    <row r="116" spans="1:5" ht="15.75" x14ac:dyDescent="0.25">
      <c r="A116" t="s">
        <v>221</v>
      </c>
      <c r="B116" t="s">
        <v>221</v>
      </c>
      <c r="C116" t="s">
        <v>221</v>
      </c>
      <c r="E116" t="str">
        <f>IFERROR(VLOOKUP(C116,Contas!B:C,2,FALSE),"")</f>
        <v/>
      </c>
    </row>
    <row r="117" spans="1:5" ht="15.75" x14ac:dyDescent="0.25">
      <c r="A117" t="s">
        <v>221</v>
      </c>
      <c r="B117" t="s">
        <v>221</v>
      </c>
      <c r="C117" t="s">
        <v>221</v>
      </c>
      <c r="E117" t="str">
        <f>IFERROR(VLOOKUP(C117,Contas!B:C,2,FALSE),"")</f>
        <v/>
      </c>
    </row>
    <row r="118" spans="1:5" ht="15.75" x14ac:dyDescent="0.25">
      <c r="A118" t="s">
        <v>221</v>
      </c>
      <c r="B118" t="s">
        <v>221</v>
      </c>
      <c r="C118" t="s">
        <v>221</v>
      </c>
      <c r="E118" t="str">
        <f>IFERROR(VLOOKUP(C118,Contas!B:C,2,FALSE),"")</f>
        <v/>
      </c>
    </row>
    <row r="119" spans="1:5" ht="15.75" x14ac:dyDescent="0.25">
      <c r="A119" t="s">
        <v>221</v>
      </c>
      <c r="B119" t="s">
        <v>221</v>
      </c>
      <c r="C119" t="s">
        <v>221</v>
      </c>
      <c r="E119" t="str">
        <f>IFERROR(VLOOKUP(C119,Contas!B:C,2,FALSE),"")</f>
        <v/>
      </c>
    </row>
    <row r="120" spans="1:5" ht="15.75" x14ac:dyDescent="0.25">
      <c r="A120" t="s">
        <v>221</v>
      </c>
      <c r="B120" t="s">
        <v>221</v>
      </c>
      <c r="C120" t="s">
        <v>221</v>
      </c>
      <c r="E120" t="str">
        <f>IFERROR(VLOOKUP(C120,Contas!B:C,2,FALSE),"")</f>
        <v/>
      </c>
    </row>
    <row r="121" spans="1:5" ht="15.75" x14ac:dyDescent="0.25">
      <c r="A121" t="s">
        <v>221</v>
      </c>
      <c r="B121" t="s">
        <v>221</v>
      </c>
      <c r="C121" t="s">
        <v>221</v>
      </c>
      <c r="E121" t="str">
        <f>IFERROR(VLOOKUP(C121,Contas!B:C,2,FALSE),"")</f>
        <v/>
      </c>
    </row>
    <row r="122" spans="1:5" ht="15.75" x14ac:dyDescent="0.25">
      <c r="A122" t="s">
        <v>221</v>
      </c>
      <c r="B122" t="s">
        <v>221</v>
      </c>
      <c r="C122" t="s">
        <v>221</v>
      </c>
      <c r="E122" t="str">
        <f>IFERROR(VLOOKUP(C122,Contas!B:C,2,FALSE),"")</f>
        <v/>
      </c>
    </row>
    <row r="123" spans="1:5" ht="15.75" x14ac:dyDescent="0.25">
      <c r="A123" t="s">
        <v>221</v>
      </c>
      <c r="B123" t="s">
        <v>221</v>
      </c>
      <c r="C123" t="s">
        <v>221</v>
      </c>
      <c r="E123" t="str">
        <f>IFERROR(VLOOKUP(C123,Contas!B:C,2,FALSE),"")</f>
        <v/>
      </c>
    </row>
    <row r="124" spans="1:5" ht="15.75" x14ac:dyDescent="0.25">
      <c r="A124" t="s">
        <v>221</v>
      </c>
      <c r="B124" t="s">
        <v>221</v>
      </c>
      <c r="C124" t="s">
        <v>221</v>
      </c>
      <c r="E124" t="str">
        <f>IFERROR(VLOOKUP(C124,Contas!B:C,2,FALSE),"")</f>
        <v/>
      </c>
    </row>
    <row r="125" spans="1:5" ht="15.75" x14ac:dyDescent="0.25">
      <c r="A125" t="s">
        <v>221</v>
      </c>
      <c r="B125" t="s">
        <v>221</v>
      </c>
      <c r="C125" t="s">
        <v>221</v>
      </c>
      <c r="E125" t="str">
        <f>IFERROR(VLOOKUP(C125,Contas!B:C,2,FALSE),"")</f>
        <v/>
      </c>
    </row>
    <row r="126" spans="1:5" ht="15.75" x14ac:dyDescent="0.25">
      <c r="A126" t="s">
        <v>221</v>
      </c>
      <c r="B126" t="s">
        <v>221</v>
      </c>
      <c r="C126" t="s">
        <v>221</v>
      </c>
      <c r="E126" t="str">
        <f>IFERROR(VLOOKUP(C126,Contas!B:C,2,FALSE),"")</f>
        <v/>
      </c>
    </row>
    <row r="127" spans="1:5" ht="15.75" x14ac:dyDescent="0.25">
      <c r="A127" t="s">
        <v>221</v>
      </c>
      <c r="B127" t="s">
        <v>221</v>
      </c>
      <c r="C127" t="s">
        <v>221</v>
      </c>
      <c r="E127" t="str">
        <f>IFERROR(VLOOKUP(C127,Contas!B:C,2,FALSE),"")</f>
        <v/>
      </c>
    </row>
    <row r="128" spans="1:5" ht="15.75" x14ac:dyDescent="0.25">
      <c r="A128" t="s">
        <v>221</v>
      </c>
      <c r="B128" t="s">
        <v>221</v>
      </c>
      <c r="C128" t="s">
        <v>221</v>
      </c>
      <c r="E128" t="str">
        <f>IFERROR(VLOOKUP(C128,Contas!B:C,2,FALSE),"")</f>
        <v/>
      </c>
    </row>
    <row r="129" spans="1:5" ht="15.75" x14ac:dyDescent="0.25">
      <c r="A129" t="s">
        <v>221</v>
      </c>
      <c r="B129" t="s">
        <v>221</v>
      </c>
      <c r="C129" t="s">
        <v>221</v>
      </c>
      <c r="E129" t="str">
        <f>IFERROR(VLOOKUP(C129,Contas!B:C,2,FALSE),"")</f>
        <v/>
      </c>
    </row>
    <row r="130" spans="1:5" ht="15.75" x14ac:dyDescent="0.25">
      <c r="A130" t="s">
        <v>221</v>
      </c>
      <c r="B130" t="s">
        <v>221</v>
      </c>
      <c r="C130" t="s">
        <v>221</v>
      </c>
      <c r="E130" t="str">
        <f>IFERROR(VLOOKUP(C130,Contas!B:C,2,FALSE),"")</f>
        <v/>
      </c>
    </row>
    <row r="131" spans="1:5" ht="15.75" x14ac:dyDescent="0.25">
      <c r="A131" t="s">
        <v>221</v>
      </c>
      <c r="B131" t="s">
        <v>221</v>
      </c>
      <c r="C131" t="s">
        <v>221</v>
      </c>
      <c r="E131" t="str">
        <f>IFERROR(VLOOKUP(C131,Contas!B:C,2,FALSE),"")</f>
        <v/>
      </c>
    </row>
    <row r="132" spans="1:5" ht="15.75" x14ac:dyDescent="0.25">
      <c r="A132" t="s">
        <v>221</v>
      </c>
      <c r="B132" t="s">
        <v>221</v>
      </c>
      <c r="C132" t="s">
        <v>221</v>
      </c>
      <c r="E132" t="str">
        <f>IFERROR(VLOOKUP(C132,Contas!B:C,2,FALSE),"")</f>
        <v/>
      </c>
    </row>
    <row r="133" spans="1:5" ht="15.75" x14ac:dyDescent="0.25">
      <c r="A133" t="s">
        <v>221</v>
      </c>
      <c r="B133" t="s">
        <v>221</v>
      </c>
      <c r="C133" t="s">
        <v>221</v>
      </c>
      <c r="E133" t="str">
        <f>IFERROR(VLOOKUP(C133,Contas!B:C,2,FALSE),"")</f>
        <v/>
      </c>
    </row>
    <row r="134" spans="1:5" ht="15.75" x14ac:dyDescent="0.25">
      <c r="A134" t="s">
        <v>221</v>
      </c>
      <c r="B134" t="s">
        <v>221</v>
      </c>
      <c r="C134" t="s">
        <v>221</v>
      </c>
      <c r="E134" t="str">
        <f>IFERROR(VLOOKUP(C134,Contas!B:C,2,FALSE),"")</f>
        <v/>
      </c>
    </row>
    <row r="135" spans="1:5" ht="15.75" x14ac:dyDescent="0.25">
      <c r="A135" t="s">
        <v>221</v>
      </c>
      <c r="B135" t="s">
        <v>221</v>
      </c>
      <c r="C135" t="s">
        <v>221</v>
      </c>
      <c r="E135" t="str">
        <f>IFERROR(VLOOKUP(C135,Contas!B:C,2,FALSE),"")</f>
        <v/>
      </c>
    </row>
    <row r="136" spans="1:5" ht="15.75" x14ac:dyDescent="0.25">
      <c r="A136" t="s">
        <v>221</v>
      </c>
      <c r="B136" t="s">
        <v>221</v>
      </c>
      <c r="C136" t="s">
        <v>221</v>
      </c>
      <c r="E136" t="str">
        <f>IFERROR(VLOOKUP(C136,Contas!B:C,2,FALSE),"")</f>
        <v/>
      </c>
    </row>
    <row r="137" spans="1:5" ht="15.75" x14ac:dyDescent="0.25">
      <c r="A137" t="s">
        <v>221</v>
      </c>
      <c r="B137" t="s">
        <v>221</v>
      </c>
      <c r="C137" t="s">
        <v>221</v>
      </c>
      <c r="E137" t="str">
        <f>IFERROR(VLOOKUP(C137,Contas!B:C,2,FALSE),"")</f>
        <v/>
      </c>
    </row>
    <row r="138" spans="1:5" ht="15.75" x14ac:dyDescent="0.25">
      <c r="A138" t="s">
        <v>221</v>
      </c>
      <c r="B138" t="s">
        <v>221</v>
      </c>
      <c r="C138" t="s">
        <v>221</v>
      </c>
      <c r="E138" t="str">
        <f>IFERROR(VLOOKUP(C138,Contas!B:C,2,FALSE),"")</f>
        <v/>
      </c>
    </row>
    <row r="139" spans="1:5" ht="15.75" x14ac:dyDescent="0.25">
      <c r="A139" t="s">
        <v>221</v>
      </c>
      <c r="B139" t="s">
        <v>221</v>
      </c>
      <c r="C139" t="s">
        <v>221</v>
      </c>
      <c r="E139" t="str">
        <f>IFERROR(VLOOKUP(C139,Contas!B:C,2,FALSE),"")</f>
        <v/>
      </c>
    </row>
    <row r="140" spans="1:5" ht="15.75" x14ac:dyDescent="0.25">
      <c r="A140" t="s">
        <v>221</v>
      </c>
      <c r="B140" t="s">
        <v>221</v>
      </c>
      <c r="C140" t="s">
        <v>221</v>
      </c>
      <c r="E140" t="str">
        <f>IFERROR(VLOOKUP(C140,Contas!B:C,2,FALSE),"")</f>
        <v/>
      </c>
    </row>
    <row r="141" spans="1:5" ht="15.75" x14ac:dyDescent="0.25">
      <c r="A141" t="s">
        <v>221</v>
      </c>
      <c r="B141" t="s">
        <v>221</v>
      </c>
      <c r="C141" t="s">
        <v>221</v>
      </c>
      <c r="E141" t="str">
        <f>IFERROR(VLOOKUP(C141,Contas!B:C,2,FALSE),"")</f>
        <v/>
      </c>
    </row>
    <row r="142" spans="1:5" ht="15.75" x14ac:dyDescent="0.25">
      <c r="A142" t="s">
        <v>221</v>
      </c>
      <c r="B142" t="s">
        <v>221</v>
      </c>
      <c r="C142" t="s">
        <v>221</v>
      </c>
      <c r="E142" t="str">
        <f>IFERROR(VLOOKUP(C142,Contas!B:C,2,FALSE),"")</f>
        <v/>
      </c>
    </row>
    <row r="143" spans="1:5" ht="15.75" x14ac:dyDescent="0.25">
      <c r="A143" t="s">
        <v>221</v>
      </c>
      <c r="B143" t="s">
        <v>221</v>
      </c>
      <c r="C143" t="s">
        <v>221</v>
      </c>
      <c r="E143" t="str">
        <f>IFERROR(VLOOKUP(C143,Contas!B:C,2,FALSE),"")</f>
        <v/>
      </c>
    </row>
    <row r="144" spans="1:5" ht="15.75" x14ac:dyDescent="0.25">
      <c r="A144" t="s">
        <v>221</v>
      </c>
      <c r="B144" t="s">
        <v>221</v>
      </c>
      <c r="C144" t="s">
        <v>221</v>
      </c>
      <c r="E144" t="str">
        <f>IFERROR(VLOOKUP(C144,Contas!B:C,2,FALSE),"")</f>
        <v/>
      </c>
    </row>
    <row r="145" spans="1:5" ht="15.75" x14ac:dyDescent="0.25">
      <c r="A145" t="s">
        <v>221</v>
      </c>
      <c r="B145" t="s">
        <v>221</v>
      </c>
      <c r="C145" t="s">
        <v>221</v>
      </c>
      <c r="E145" t="str">
        <f>IFERROR(VLOOKUP(C145,Contas!B:C,2,FALSE),"")</f>
        <v/>
      </c>
    </row>
    <row r="146" spans="1:5" ht="15.75" x14ac:dyDescent="0.25">
      <c r="A146" t="s">
        <v>221</v>
      </c>
      <c r="B146" t="s">
        <v>221</v>
      </c>
      <c r="C146" t="s">
        <v>221</v>
      </c>
      <c r="E146" t="str">
        <f>IFERROR(VLOOKUP(C146,Contas!B:C,2,FALSE),"")</f>
        <v/>
      </c>
    </row>
    <row r="147" spans="1:5" ht="15.75" x14ac:dyDescent="0.25">
      <c r="A147" t="s">
        <v>221</v>
      </c>
      <c r="B147" t="s">
        <v>221</v>
      </c>
      <c r="C147" t="s">
        <v>221</v>
      </c>
      <c r="E147" t="str">
        <f>IFERROR(VLOOKUP(C147,Contas!B:C,2,FALSE),"")</f>
        <v/>
      </c>
    </row>
    <row r="148" spans="1:5" ht="15.75" x14ac:dyDescent="0.25">
      <c r="A148" t="s">
        <v>221</v>
      </c>
      <c r="B148" t="s">
        <v>221</v>
      </c>
      <c r="C148" t="s">
        <v>221</v>
      </c>
      <c r="E148" t="str">
        <f>IFERROR(VLOOKUP(C148,Contas!B:C,2,FALSE),"")</f>
        <v/>
      </c>
    </row>
    <row r="149" spans="1:5" ht="15.75" x14ac:dyDescent="0.25">
      <c r="A149" t="s">
        <v>221</v>
      </c>
      <c r="B149" t="s">
        <v>221</v>
      </c>
      <c r="C149" t="s">
        <v>221</v>
      </c>
      <c r="E149" t="str">
        <f>IFERROR(VLOOKUP(C149,Contas!B:C,2,FALSE),"")</f>
        <v/>
      </c>
    </row>
    <row r="150" spans="1:5" ht="15.75" x14ac:dyDescent="0.25">
      <c r="A150" t="s">
        <v>221</v>
      </c>
      <c r="B150" t="s">
        <v>221</v>
      </c>
      <c r="C150" t="s">
        <v>221</v>
      </c>
      <c r="E150" t="str">
        <f>IFERROR(VLOOKUP(C150,Contas!B:C,2,FALSE),"")</f>
        <v/>
      </c>
    </row>
    <row r="151" spans="1:5" ht="15.75" x14ac:dyDescent="0.25">
      <c r="A151" t="s">
        <v>221</v>
      </c>
      <c r="B151" t="s">
        <v>221</v>
      </c>
      <c r="C151" t="s">
        <v>221</v>
      </c>
      <c r="E151" t="str">
        <f>IFERROR(VLOOKUP(C151,Contas!B:C,2,FALSE),"")</f>
        <v/>
      </c>
    </row>
    <row r="152" spans="1:5" ht="15.75" x14ac:dyDescent="0.25">
      <c r="A152" t="s">
        <v>221</v>
      </c>
      <c r="B152" t="s">
        <v>221</v>
      </c>
      <c r="C152" t="s">
        <v>221</v>
      </c>
      <c r="E152" t="str">
        <f>IFERROR(VLOOKUP(C152,Contas!B:C,2,FALSE),"")</f>
        <v/>
      </c>
    </row>
    <row r="153" spans="1:5" ht="15.75" x14ac:dyDescent="0.25">
      <c r="A153" t="s">
        <v>221</v>
      </c>
      <c r="B153" t="s">
        <v>221</v>
      </c>
      <c r="C153" t="s">
        <v>221</v>
      </c>
      <c r="E153" t="str">
        <f>IFERROR(VLOOKUP(C153,Contas!B:C,2,FALSE),"")</f>
        <v/>
      </c>
    </row>
    <row r="154" spans="1:5" ht="15.75" x14ac:dyDescent="0.25">
      <c r="A154" t="s">
        <v>221</v>
      </c>
      <c r="B154" t="s">
        <v>221</v>
      </c>
      <c r="C154" t="s">
        <v>221</v>
      </c>
      <c r="E154" t="str">
        <f>IFERROR(VLOOKUP(C154,Contas!B:C,2,FALSE),"")</f>
        <v/>
      </c>
    </row>
    <row r="155" spans="1:5" ht="15.75" x14ac:dyDescent="0.25">
      <c r="A155" t="s">
        <v>221</v>
      </c>
      <c r="B155" t="s">
        <v>221</v>
      </c>
      <c r="C155" t="s">
        <v>221</v>
      </c>
      <c r="E155" t="str">
        <f>IFERROR(VLOOKUP(C155,Contas!B:C,2,FALSE),"")</f>
        <v/>
      </c>
    </row>
    <row r="156" spans="1:5" ht="15.75" x14ac:dyDescent="0.25">
      <c r="A156" t="s">
        <v>221</v>
      </c>
      <c r="B156" t="s">
        <v>221</v>
      </c>
      <c r="C156" t="s">
        <v>221</v>
      </c>
      <c r="E156" t="str">
        <f>IFERROR(VLOOKUP(C156,Contas!B:C,2,FALSE),"")</f>
        <v/>
      </c>
    </row>
    <row r="157" spans="1:5" ht="15.75" x14ac:dyDescent="0.25">
      <c r="A157" t="s">
        <v>221</v>
      </c>
      <c r="B157" t="s">
        <v>221</v>
      </c>
      <c r="C157" t="s">
        <v>221</v>
      </c>
      <c r="E157" t="str">
        <f>IFERROR(VLOOKUP(C157,Contas!B:C,2,FALSE),"")</f>
        <v/>
      </c>
    </row>
    <row r="158" spans="1:5" ht="15.75" x14ac:dyDescent="0.25">
      <c r="A158" t="s">
        <v>221</v>
      </c>
      <c r="B158" t="s">
        <v>221</v>
      </c>
      <c r="C158" t="s">
        <v>221</v>
      </c>
      <c r="E158" t="str">
        <f>IFERROR(VLOOKUP(C158,Contas!B:C,2,FALSE),"")</f>
        <v/>
      </c>
    </row>
    <row r="159" spans="1:5" ht="15.75" x14ac:dyDescent="0.25">
      <c r="A159" t="s">
        <v>221</v>
      </c>
      <c r="B159" t="s">
        <v>221</v>
      </c>
      <c r="C159" t="s">
        <v>221</v>
      </c>
      <c r="E159" t="str">
        <f>IFERROR(VLOOKUP(C159,Contas!B:C,2,FALSE),"")</f>
        <v/>
      </c>
    </row>
    <row r="160" spans="1:5" ht="15.75" x14ac:dyDescent="0.25">
      <c r="A160" t="s">
        <v>221</v>
      </c>
      <c r="B160" t="s">
        <v>221</v>
      </c>
      <c r="C160" t="s">
        <v>221</v>
      </c>
      <c r="E160" t="str">
        <f>IFERROR(VLOOKUP(C160,Contas!B:C,2,FALSE),"")</f>
        <v/>
      </c>
    </row>
    <row r="161" spans="1:5" ht="15.75" x14ac:dyDescent="0.25">
      <c r="A161" t="s">
        <v>221</v>
      </c>
      <c r="B161" t="s">
        <v>221</v>
      </c>
      <c r="C161" t="s">
        <v>221</v>
      </c>
      <c r="E161" t="str">
        <f>IFERROR(VLOOKUP(C161,Contas!B:C,2,FALSE),"")</f>
        <v/>
      </c>
    </row>
    <row r="162" spans="1:5" ht="15.75" x14ac:dyDescent="0.25">
      <c r="A162" t="s">
        <v>221</v>
      </c>
      <c r="B162" t="s">
        <v>221</v>
      </c>
      <c r="C162" t="s">
        <v>221</v>
      </c>
      <c r="E162" t="str">
        <f>IFERROR(VLOOKUP(C162,Contas!B:C,2,FALSE),"")</f>
        <v/>
      </c>
    </row>
    <row r="163" spans="1:5" ht="15.75" x14ac:dyDescent="0.25">
      <c r="A163" t="s">
        <v>221</v>
      </c>
      <c r="B163" t="s">
        <v>221</v>
      </c>
      <c r="C163" t="s">
        <v>221</v>
      </c>
      <c r="E163" t="str">
        <f>IFERROR(VLOOKUP(C163,Contas!B:C,2,FALSE),"")</f>
        <v/>
      </c>
    </row>
    <row r="164" spans="1:5" ht="15.75" x14ac:dyDescent="0.25">
      <c r="A164" t="s">
        <v>221</v>
      </c>
      <c r="B164" t="s">
        <v>221</v>
      </c>
      <c r="C164" t="s">
        <v>221</v>
      </c>
      <c r="E164" t="str">
        <f>IFERROR(VLOOKUP(C164,Contas!B:C,2,FALSE),"")</f>
        <v/>
      </c>
    </row>
    <row r="165" spans="1:5" ht="15.75" x14ac:dyDescent="0.25">
      <c r="A165" t="s">
        <v>221</v>
      </c>
      <c r="B165" t="s">
        <v>221</v>
      </c>
      <c r="C165" t="s">
        <v>221</v>
      </c>
      <c r="E165" t="str">
        <f>IFERROR(VLOOKUP(C165,Contas!B:C,2,FALSE),"")</f>
        <v/>
      </c>
    </row>
    <row r="166" spans="1:5" ht="15.75" x14ac:dyDescent="0.25">
      <c r="A166" t="s">
        <v>221</v>
      </c>
      <c r="B166" t="s">
        <v>221</v>
      </c>
      <c r="C166" t="s">
        <v>221</v>
      </c>
      <c r="E166" t="str">
        <f>IFERROR(VLOOKUP(C166,Contas!B:C,2,FALSE),"")</f>
        <v/>
      </c>
    </row>
    <row r="167" spans="1:5" ht="15.75" x14ac:dyDescent="0.25">
      <c r="A167" t="s">
        <v>221</v>
      </c>
      <c r="B167" t="s">
        <v>221</v>
      </c>
      <c r="C167" t="s">
        <v>221</v>
      </c>
      <c r="E167" t="str">
        <f>IFERROR(VLOOKUP(C167,Contas!B:C,2,FALSE),"")</f>
        <v/>
      </c>
    </row>
    <row r="168" spans="1:5" ht="15.75" x14ac:dyDescent="0.25">
      <c r="A168" t="s">
        <v>221</v>
      </c>
      <c r="B168" t="s">
        <v>221</v>
      </c>
      <c r="C168" t="s">
        <v>221</v>
      </c>
      <c r="E168" t="str">
        <f>IFERROR(VLOOKUP(C168,Contas!B:C,2,FALSE),"")</f>
        <v/>
      </c>
    </row>
    <row r="169" spans="1:5" ht="15.75" x14ac:dyDescent="0.25">
      <c r="A169" t="s">
        <v>221</v>
      </c>
      <c r="B169" t="s">
        <v>221</v>
      </c>
      <c r="C169" t="s">
        <v>221</v>
      </c>
      <c r="E169" t="str">
        <f>IFERROR(VLOOKUP(C169,Contas!B:C,2,FALSE),"")</f>
        <v/>
      </c>
    </row>
    <row r="170" spans="1:5" ht="15.75" x14ac:dyDescent="0.25">
      <c r="A170" t="s">
        <v>221</v>
      </c>
      <c r="B170" t="s">
        <v>221</v>
      </c>
      <c r="C170" t="s">
        <v>221</v>
      </c>
      <c r="E170" t="str">
        <f>IFERROR(VLOOKUP(C170,Contas!B:C,2,FALSE),"")</f>
        <v/>
      </c>
    </row>
    <row r="171" spans="1:5" ht="15.75" x14ac:dyDescent="0.25">
      <c r="A171" t="s">
        <v>221</v>
      </c>
      <c r="B171" t="s">
        <v>221</v>
      </c>
      <c r="C171" t="s">
        <v>221</v>
      </c>
      <c r="E171" t="str">
        <f>IFERROR(VLOOKUP(C171,Contas!B:C,2,FALSE),"")</f>
        <v/>
      </c>
    </row>
    <row r="172" spans="1:5" ht="15.75" x14ac:dyDescent="0.25">
      <c r="A172" t="s">
        <v>221</v>
      </c>
      <c r="B172" t="s">
        <v>221</v>
      </c>
      <c r="C172" t="s">
        <v>221</v>
      </c>
      <c r="E172" t="str">
        <f>IFERROR(VLOOKUP(C172,Contas!B:C,2,FALSE),"")</f>
        <v/>
      </c>
    </row>
    <row r="173" spans="1:5" ht="15.75" x14ac:dyDescent="0.25">
      <c r="A173" t="s">
        <v>221</v>
      </c>
      <c r="B173" t="s">
        <v>221</v>
      </c>
      <c r="C173" t="s">
        <v>221</v>
      </c>
      <c r="E173" t="str">
        <f>IFERROR(VLOOKUP(C173,Contas!B:C,2,FALSE),"")</f>
        <v/>
      </c>
    </row>
    <row r="174" spans="1:5" ht="15.75" x14ac:dyDescent="0.25">
      <c r="A174" t="s">
        <v>221</v>
      </c>
      <c r="B174" t="s">
        <v>221</v>
      </c>
      <c r="C174" t="s">
        <v>221</v>
      </c>
      <c r="E174" t="str">
        <f>IFERROR(VLOOKUP(C174,Contas!B:C,2,FALSE),"")</f>
        <v/>
      </c>
    </row>
    <row r="175" spans="1:5" ht="15.75" x14ac:dyDescent="0.25">
      <c r="A175" t="s">
        <v>221</v>
      </c>
      <c r="B175" t="s">
        <v>221</v>
      </c>
      <c r="C175" t="s">
        <v>221</v>
      </c>
      <c r="E175" t="str">
        <f>IFERROR(VLOOKUP(C175,Contas!B:C,2,FALSE),"")</f>
        <v/>
      </c>
    </row>
    <row r="176" spans="1:5" ht="15.75" x14ac:dyDescent="0.25">
      <c r="A176" t="s">
        <v>221</v>
      </c>
      <c r="B176" t="s">
        <v>221</v>
      </c>
      <c r="C176" t="s">
        <v>221</v>
      </c>
      <c r="E176" t="str">
        <f>IFERROR(VLOOKUP(C176,Contas!B:C,2,FALSE),"")</f>
        <v/>
      </c>
    </row>
    <row r="177" spans="1:5" ht="15.75" x14ac:dyDescent="0.25">
      <c r="A177" t="s">
        <v>221</v>
      </c>
      <c r="B177" t="s">
        <v>221</v>
      </c>
      <c r="C177" t="s">
        <v>221</v>
      </c>
      <c r="E177" t="str">
        <f>IFERROR(VLOOKUP(C177,Contas!B:C,2,FALSE),"")</f>
        <v/>
      </c>
    </row>
    <row r="178" spans="1:5" ht="15.75" x14ac:dyDescent="0.25">
      <c r="A178" t="s">
        <v>221</v>
      </c>
      <c r="B178" t="s">
        <v>221</v>
      </c>
      <c r="C178" t="s">
        <v>221</v>
      </c>
      <c r="E178" t="str">
        <f>IFERROR(VLOOKUP(C178,Contas!B:C,2,FALSE),"")</f>
        <v/>
      </c>
    </row>
    <row r="179" spans="1:5" ht="15.75" x14ac:dyDescent="0.25">
      <c r="A179" t="s">
        <v>221</v>
      </c>
      <c r="B179" t="s">
        <v>221</v>
      </c>
      <c r="C179" t="s">
        <v>221</v>
      </c>
      <c r="E179" t="str">
        <f>IFERROR(VLOOKUP(C179,Contas!B:C,2,FALSE),"")</f>
        <v/>
      </c>
    </row>
    <row r="180" spans="1:5" ht="15.75" x14ac:dyDescent="0.25">
      <c r="A180" t="s">
        <v>221</v>
      </c>
      <c r="B180" t="s">
        <v>221</v>
      </c>
      <c r="C180" t="s">
        <v>221</v>
      </c>
      <c r="E180" t="str">
        <f>IFERROR(VLOOKUP(C180,Contas!B:C,2,FALSE),"")</f>
        <v/>
      </c>
    </row>
    <row r="181" spans="1:5" ht="15.75" x14ac:dyDescent="0.25">
      <c r="A181" t="s">
        <v>221</v>
      </c>
      <c r="B181" t="s">
        <v>221</v>
      </c>
      <c r="C181" t="s">
        <v>221</v>
      </c>
      <c r="E181" t="str">
        <f>IFERROR(VLOOKUP(C181,Contas!B:C,2,FALSE),"")</f>
        <v/>
      </c>
    </row>
    <row r="182" spans="1:5" ht="15.75" x14ac:dyDescent="0.25">
      <c r="A182" t="s">
        <v>221</v>
      </c>
      <c r="B182" t="s">
        <v>221</v>
      </c>
      <c r="C182" t="s">
        <v>221</v>
      </c>
      <c r="E182" t="str">
        <f>IFERROR(VLOOKUP(C182,Contas!B:C,2,FALSE),"")</f>
        <v/>
      </c>
    </row>
    <row r="183" spans="1:5" ht="15.75" x14ac:dyDescent="0.25">
      <c r="A183" t="s">
        <v>221</v>
      </c>
      <c r="B183" t="s">
        <v>221</v>
      </c>
      <c r="C183" t="s">
        <v>221</v>
      </c>
      <c r="E183" t="str">
        <f>IFERROR(VLOOKUP(C183,Contas!B:C,2,FALSE),"")</f>
        <v/>
      </c>
    </row>
    <row r="184" spans="1:5" ht="15.75" x14ac:dyDescent="0.25">
      <c r="A184" t="s">
        <v>221</v>
      </c>
      <c r="B184" t="s">
        <v>221</v>
      </c>
      <c r="C184" t="s">
        <v>221</v>
      </c>
      <c r="E184" t="str">
        <f>IFERROR(VLOOKUP(C184,Contas!B:C,2,FALSE),"")</f>
        <v/>
      </c>
    </row>
    <row r="185" spans="1:5" ht="15.75" x14ac:dyDescent="0.25">
      <c r="A185" t="s">
        <v>221</v>
      </c>
      <c r="B185" t="s">
        <v>221</v>
      </c>
      <c r="C185" t="s">
        <v>221</v>
      </c>
      <c r="E185" t="str">
        <f>IFERROR(VLOOKUP(C185,Contas!B:C,2,FALSE),"")</f>
        <v/>
      </c>
    </row>
    <row r="186" spans="1:5" ht="15.75" x14ac:dyDescent="0.25">
      <c r="A186" t="s">
        <v>221</v>
      </c>
      <c r="B186" t="s">
        <v>221</v>
      </c>
      <c r="C186" t="s">
        <v>221</v>
      </c>
      <c r="E186" t="str">
        <f>IFERROR(VLOOKUP(C186,Contas!B:C,2,FALSE),"")</f>
        <v/>
      </c>
    </row>
    <row r="187" spans="1:5" ht="15.75" x14ac:dyDescent="0.25">
      <c r="A187" t="s">
        <v>221</v>
      </c>
      <c r="B187" t="s">
        <v>221</v>
      </c>
      <c r="C187" t="s">
        <v>221</v>
      </c>
      <c r="E187" t="str">
        <f>IFERROR(VLOOKUP(C187,Contas!B:C,2,FALSE),"")</f>
        <v/>
      </c>
    </row>
    <row r="188" spans="1:5" ht="15.75" x14ac:dyDescent="0.25">
      <c r="A188" t="s">
        <v>221</v>
      </c>
      <c r="B188" t="s">
        <v>221</v>
      </c>
      <c r="C188" t="s">
        <v>221</v>
      </c>
      <c r="E188" t="str">
        <f>IFERROR(VLOOKUP(C188,Contas!B:C,2,FALSE),"")</f>
        <v/>
      </c>
    </row>
    <row r="189" spans="1:5" ht="15.75" x14ac:dyDescent="0.25">
      <c r="A189" t="s">
        <v>221</v>
      </c>
      <c r="B189" t="s">
        <v>221</v>
      </c>
      <c r="C189" t="s">
        <v>221</v>
      </c>
      <c r="E189" t="str">
        <f>IFERROR(VLOOKUP(C189,Contas!B:C,2,FALSE),"")</f>
        <v/>
      </c>
    </row>
    <row r="190" spans="1:5" ht="15.75" x14ac:dyDescent="0.25">
      <c r="A190" t="s">
        <v>221</v>
      </c>
      <c r="B190" t="s">
        <v>221</v>
      </c>
      <c r="C190" t="s">
        <v>221</v>
      </c>
      <c r="E190" t="str">
        <f>IFERROR(VLOOKUP(C190,Contas!B:C,2,FALSE),"")</f>
        <v/>
      </c>
    </row>
    <row r="191" spans="1:5" ht="15.75" x14ac:dyDescent="0.25">
      <c r="A191" t="s">
        <v>221</v>
      </c>
      <c r="B191" t="s">
        <v>221</v>
      </c>
      <c r="C191" t="s">
        <v>221</v>
      </c>
      <c r="E191" t="str">
        <f>IFERROR(VLOOKUP(C191,Contas!B:C,2,FALSE),"")</f>
        <v/>
      </c>
    </row>
    <row r="192" spans="1:5" ht="15.75" x14ac:dyDescent="0.25">
      <c r="A192" t="s">
        <v>221</v>
      </c>
      <c r="B192" t="s">
        <v>221</v>
      </c>
      <c r="C192" t="s">
        <v>221</v>
      </c>
      <c r="E192" t="str">
        <f>IFERROR(VLOOKUP(C192,Contas!B:C,2,FALSE),"")</f>
        <v/>
      </c>
    </row>
    <row r="193" spans="1:5" ht="15.75" x14ac:dyDescent="0.25">
      <c r="A193" t="s">
        <v>221</v>
      </c>
      <c r="B193" t="s">
        <v>221</v>
      </c>
      <c r="C193" t="s">
        <v>221</v>
      </c>
      <c r="E193" t="str">
        <f>IFERROR(VLOOKUP(C193,Contas!B:C,2,FALSE),"")</f>
        <v/>
      </c>
    </row>
    <row r="194" spans="1:5" ht="15.75" x14ac:dyDescent="0.25">
      <c r="A194" t="s">
        <v>221</v>
      </c>
      <c r="B194" t="s">
        <v>221</v>
      </c>
      <c r="C194" t="s">
        <v>221</v>
      </c>
      <c r="E194" t="str">
        <f>IFERROR(VLOOKUP(C194,Contas!B:C,2,FALSE),"")</f>
        <v/>
      </c>
    </row>
    <row r="195" spans="1:5" ht="15.75" x14ac:dyDescent="0.25">
      <c r="A195" t="s">
        <v>221</v>
      </c>
      <c r="B195" t="s">
        <v>221</v>
      </c>
      <c r="C195" t="s">
        <v>221</v>
      </c>
      <c r="E195" t="str">
        <f>IFERROR(VLOOKUP(C195,Contas!B:C,2,FALSE),"")</f>
        <v/>
      </c>
    </row>
    <row r="196" spans="1:5" ht="15.75" x14ac:dyDescent="0.25">
      <c r="A196" t="s">
        <v>221</v>
      </c>
      <c r="B196" t="s">
        <v>221</v>
      </c>
      <c r="C196" t="s">
        <v>221</v>
      </c>
      <c r="E196" t="str">
        <f>IFERROR(VLOOKUP(C196,Contas!B:C,2,FALSE),"")</f>
        <v/>
      </c>
    </row>
    <row r="197" spans="1:5" ht="15.75" x14ac:dyDescent="0.25">
      <c r="A197" t="s">
        <v>221</v>
      </c>
      <c r="B197" t="s">
        <v>221</v>
      </c>
      <c r="C197" t="s">
        <v>221</v>
      </c>
      <c r="E197" t="str">
        <f>IFERROR(VLOOKUP(C197,Contas!B:C,2,FALSE),"")</f>
        <v/>
      </c>
    </row>
    <row r="198" spans="1:5" ht="15.75" x14ac:dyDescent="0.25">
      <c r="A198" t="s">
        <v>221</v>
      </c>
      <c r="B198" t="s">
        <v>221</v>
      </c>
      <c r="C198" t="s">
        <v>221</v>
      </c>
      <c r="E198" t="str">
        <f>IFERROR(VLOOKUP(C198,Contas!B:C,2,FALSE),"")</f>
        <v/>
      </c>
    </row>
    <row r="199" spans="1:5" ht="15.75" x14ac:dyDescent="0.25">
      <c r="A199" t="s">
        <v>221</v>
      </c>
      <c r="B199" t="s">
        <v>221</v>
      </c>
      <c r="C199" t="s">
        <v>221</v>
      </c>
      <c r="E199" t="str">
        <f>IFERROR(VLOOKUP(C199,Contas!B:C,2,FALSE),"")</f>
        <v/>
      </c>
    </row>
    <row r="200" spans="1:5" ht="15.75" x14ac:dyDescent="0.25">
      <c r="A200" t="s">
        <v>221</v>
      </c>
      <c r="B200" t="s">
        <v>221</v>
      </c>
      <c r="C200" t="s">
        <v>221</v>
      </c>
      <c r="E200" t="str">
        <f>IFERROR(VLOOKUP(C200,Contas!B:C,2,FALSE),"")</f>
        <v/>
      </c>
    </row>
    <row r="201" spans="1:5" ht="15.75" x14ac:dyDescent="0.25"/>
  </sheetData>
  <sortState xmlns:xlrd2="http://schemas.microsoft.com/office/spreadsheetml/2017/richdata2" ref="A2:E57">
    <sortCondition ref="A1"/>
  </sortState>
  <pageMargins left="0.511811024" right="0.511811024" top="0.78740157499999996" bottom="0.78740157499999996" header="0.31496062000000002" footer="0.31496062000000002"/>
  <ignoredErrors>
    <ignoredError sqref="A1:E1 A58:E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Contas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modified xsi:type="dcterms:W3CDTF">2026-04-25T15:04:39Z</dcterms:modified>
</cp:coreProperties>
</file>